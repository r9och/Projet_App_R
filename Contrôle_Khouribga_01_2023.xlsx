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>
    <mc:Choice Requires="x15">
      <x15ac:absPath xmlns:x15ac="http://schemas.microsoft.com/office/spreadsheetml/2010/11/ac" url="C:\Users\DRG\Desktop\Contrôle\"/>
    </mc:Choice>
  </mc:AlternateContent>
  <xr:revisionPtr revIDLastSave="0" documentId="13_ncr:1_{763F9230-9626-45B1-89A6-7AD06D10AD20}" xr6:coauthVersionLast="45" xr6:coauthVersionMax="45" xr10:uidLastSave="{00000000-0000-0000-0000-000000000000}"/>
  <bookViews>
    <workbookView xWindow="-120" yWindow="-120" windowWidth="29040" windowHeight="15840" tabRatio="351" activeTab="4" xr2:uid="{00000000-000D-0000-FFFF-FFFF00000000}"/>
  </bookViews>
  <sheets>
    <sheet name="DD" sheetId="13" r:id="rId1"/>
    <sheet name="Data" sheetId="9" r:id="rId2"/>
    <sheet name="Etat du Ciel" sheetId="3" r:id="rId3"/>
    <sheet name="Vent" sheetId="11" r:id="rId4"/>
    <sheet name="Phenomenes" sheetId="5" r:id="rId5"/>
    <sheet name="Tmax" sheetId="6" r:id="rId6"/>
    <sheet name="Tmin" sheetId="7" r:id="rId7"/>
    <sheet name="Score Final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1" l="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122" i="11" l="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21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83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46" i="11"/>
  <c r="H9" i="11"/>
  <c r="G38" i="8" l="1"/>
  <c r="H38" i="8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AB16" i="3"/>
  <c r="K40" i="3"/>
  <c r="D8" i="6" l="1"/>
  <c r="D9" i="6"/>
  <c r="D8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9" i="7"/>
  <c r="F9" i="7" s="1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C38" i="6"/>
  <c r="D38" i="6"/>
  <c r="E38" i="6"/>
  <c r="F38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9" i="6"/>
  <c r="E8" i="6"/>
  <c r="D35" i="6"/>
  <c r="D36" i="6"/>
  <c r="D37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P15" i="6"/>
  <c r="F35" i="7" l="1"/>
  <c r="G35" i="7"/>
  <c r="F31" i="7"/>
  <c r="G31" i="7"/>
  <c r="F27" i="7"/>
  <c r="G27" i="7"/>
  <c r="F23" i="7"/>
  <c r="G23" i="7"/>
  <c r="F19" i="7"/>
  <c r="F15" i="7"/>
  <c r="G15" i="7"/>
  <c r="G11" i="7"/>
  <c r="F11" i="7"/>
  <c r="G38" i="7"/>
  <c r="F38" i="7"/>
  <c r="G34" i="7"/>
  <c r="F34" i="7"/>
  <c r="G30" i="7"/>
  <c r="F30" i="7"/>
  <c r="G26" i="7"/>
  <c r="F26" i="7"/>
  <c r="G22" i="7"/>
  <c r="F22" i="7"/>
  <c r="G18" i="7"/>
  <c r="F18" i="7"/>
  <c r="F14" i="7"/>
  <c r="F10" i="7"/>
  <c r="H38" i="6"/>
  <c r="J38" i="6"/>
  <c r="F37" i="7"/>
  <c r="G37" i="7"/>
  <c r="G33" i="7"/>
  <c r="F33" i="7"/>
  <c r="F29" i="7"/>
  <c r="G29" i="7"/>
  <c r="G25" i="7"/>
  <c r="F25" i="7"/>
  <c r="G21" i="7"/>
  <c r="F21" i="7"/>
  <c r="F17" i="7"/>
  <c r="G17" i="7"/>
  <c r="G13" i="7"/>
  <c r="F13" i="7"/>
  <c r="G38" i="6"/>
  <c r="I38" i="6"/>
  <c r="F36" i="7"/>
  <c r="G36" i="7"/>
  <c r="F32" i="7"/>
  <c r="F28" i="7"/>
  <c r="G28" i="7"/>
  <c r="G24" i="7"/>
  <c r="F24" i="7"/>
  <c r="F20" i="7"/>
  <c r="G20" i="7"/>
  <c r="F16" i="7"/>
  <c r="G16" i="7"/>
  <c r="G12" i="7"/>
  <c r="F12" i="7"/>
  <c r="H27" i="7" l="1"/>
  <c r="H35" i="7"/>
  <c r="H23" i="7"/>
  <c r="H31" i="7"/>
  <c r="K38" i="6"/>
  <c r="I38" i="8" s="1"/>
  <c r="H25" i="7"/>
  <c r="H33" i="7"/>
  <c r="L38" i="6"/>
  <c r="J38" i="8" s="1"/>
  <c r="H29" i="7"/>
  <c r="H37" i="7"/>
  <c r="H38" i="7"/>
  <c r="H21" i="7"/>
  <c r="H22" i="7"/>
  <c r="H30" i="7"/>
  <c r="H24" i="7"/>
  <c r="H20" i="7"/>
  <c r="H28" i="7"/>
  <c r="H36" i="7"/>
  <c r="H18" i="7"/>
  <c r="H26" i="7"/>
  <c r="H34" i="7"/>
  <c r="C37" i="3"/>
  <c r="H37" i="3"/>
  <c r="L37" i="3" s="1"/>
  <c r="M37" i="3"/>
  <c r="R37" i="3"/>
  <c r="V37" i="3" s="1"/>
  <c r="C38" i="7"/>
  <c r="P37" i="3" l="1"/>
  <c r="G37" i="3"/>
  <c r="Q37" i="3"/>
  <c r="K37" i="3"/>
  <c r="F37" i="3"/>
  <c r="U37" i="3"/>
  <c r="B2" i="8"/>
  <c r="X37" i="3" l="1"/>
  <c r="Z37" i="3" s="1"/>
  <c r="D38" i="8" s="1"/>
  <c r="K38" i="8"/>
  <c r="W37" i="3"/>
  <c r="Y37" i="3" s="1"/>
  <c r="C38" i="8" s="1"/>
  <c r="B2" i="7"/>
  <c r="B2" i="6"/>
  <c r="B2" i="5"/>
  <c r="B2" i="11"/>
  <c r="B2" i="3"/>
  <c r="S122" i="11" l="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21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83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46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21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83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46" i="11"/>
  <c r="R8" i="3" l="1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V24" i="3" s="1"/>
  <c r="R25" i="3"/>
  <c r="V25" i="3" s="1"/>
  <c r="R26" i="3"/>
  <c r="R27" i="3"/>
  <c r="R28" i="3"/>
  <c r="R29" i="3"/>
  <c r="V29" i="3" s="1"/>
  <c r="R30" i="3"/>
  <c r="R31" i="3"/>
  <c r="R32" i="3"/>
  <c r="R33" i="3"/>
  <c r="R34" i="3"/>
  <c r="R35" i="3"/>
  <c r="R36" i="3"/>
  <c r="R7" i="3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8" i="5"/>
  <c r="C10" i="7"/>
  <c r="C11" i="7"/>
  <c r="C12" i="7"/>
  <c r="C13" i="7"/>
  <c r="C14" i="7"/>
  <c r="G14" i="7" s="1"/>
  <c r="C15" i="7"/>
  <c r="C16" i="7"/>
  <c r="C17" i="7"/>
  <c r="C18" i="7"/>
  <c r="C19" i="7"/>
  <c r="G19" i="7" s="1"/>
  <c r="H19" i="7" s="1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G32" i="7" s="1"/>
  <c r="H32" i="7" s="1"/>
  <c r="C33" i="7"/>
  <c r="C34" i="7"/>
  <c r="C35" i="7"/>
  <c r="C36" i="7"/>
  <c r="C37" i="7"/>
  <c r="C9" i="7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8" i="6"/>
  <c r="G8" i="6" s="1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9" i="6"/>
  <c r="J31" i="6" l="1"/>
  <c r="I31" i="6"/>
  <c r="J23" i="6"/>
  <c r="I23" i="6"/>
  <c r="I15" i="6"/>
  <c r="J15" i="6"/>
  <c r="J34" i="6"/>
  <c r="I34" i="6"/>
  <c r="J30" i="6"/>
  <c r="I30" i="6"/>
  <c r="J26" i="6"/>
  <c r="I26" i="6"/>
  <c r="J22" i="6"/>
  <c r="I22" i="6"/>
  <c r="I18" i="6"/>
  <c r="J18" i="6"/>
  <c r="J14" i="6"/>
  <c r="I14" i="6"/>
  <c r="J10" i="6"/>
  <c r="I10" i="6"/>
  <c r="J36" i="6"/>
  <c r="I36" i="6"/>
  <c r="I32" i="6"/>
  <c r="J32" i="6"/>
  <c r="J28" i="6"/>
  <c r="I28" i="6"/>
  <c r="J24" i="6"/>
  <c r="I24" i="6"/>
  <c r="J20" i="6"/>
  <c r="I20" i="6"/>
  <c r="I16" i="6"/>
  <c r="J16" i="6"/>
  <c r="J12" i="6"/>
  <c r="I12" i="6"/>
  <c r="J35" i="6"/>
  <c r="I35" i="6"/>
  <c r="J27" i="6"/>
  <c r="I27" i="6"/>
  <c r="I19" i="6"/>
  <c r="J19" i="6"/>
  <c r="J11" i="6"/>
  <c r="I11" i="6"/>
  <c r="J37" i="6"/>
  <c r="I37" i="6"/>
  <c r="J33" i="6"/>
  <c r="I33" i="6"/>
  <c r="J29" i="6"/>
  <c r="I29" i="6"/>
  <c r="I25" i="6"/>
  <c r="J25" i="6"/>
  <c r="I21" i="6"/>
  <c r="J21" i="6"/>
  <c r="J17" i="6"/>
  <c r="I17" i="6"/>
  <c r="J13" i="6"/>
  <c r="I13" i="6"/>
  <c r="I9" i="6"/>
  <c r="J9" i="6"/>
  <c r="V23" i="3"/>
  <c r="V33" i="3"/>
  <c r="V32" i="3"/>
  <c r="V31" i="3"/>
  <c r="V35" i="3"/>
  <c r="V27" i="3"/>
  <c r="V36" i="3"/>
  <c r="V28" i="3"/>
  <c r="V34" i="3"/>
  <c r="V30" i="3"/>
  <c r="V26" i="3"/>
  <c r="K10" i="11"/>
  <c r="K9" i="11"/>
  <c r="K18" i="11"/>
  <c r="S9" i="5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I121" i="11" l="1"/>
  <c r="J121" i="11"/>
  <c r="I122" i="11"/>
  <c r="J122" i="11"/>
  <c r="I123" i="11"/>
  <c r="J123" i="11"/>
  <c r="I124" i="11"/>
  <c r="J124" i="11"/>
  <c r="I125" i="11"/>
  <c r="J125" i="11"/>
  <c r="I126" i="11"/>
  <c r="J126" i="11"/>
  <c r="I127" i="11"/>
  <c r="J127" i="11"/>
  <c r="I128" i="11"/>
  <c r="J128" i="11"/>
  <c r="I129" i="11"/>
  <c r="J129" i="11"/>
  <c r="I130" i="11"/>
  <c r="J130" i="11"/>
  <c r="I131" i="11"/>
  <c r="J131" i="11"/>
  <c r="I132" i="11"/>
  <c r="J132" i="11"/>
  <c r="I133" i="11"/>
  <c r="J133" i="11"/>
  <c r="I134" i="11"/>
  <c r="J134" i="11"/>
  <c r="I135" i="11"/>
  <c r="J135" i="11"/>
  <c r="I136" i="11"/>
  <c r="J136" i="11"/>
  <c r="I137" i="11"/>
  <c r="J137" i="11"/>
  <c r="I138" i="11"/>
  <c r="J138" i="11"/>
  <c r="I139" i="11"/>
  <c r="J139" i="11"/>
  <c r="I140" i="11"/>
  <c r="J140" i="11"/>
  <c r="I141" i="11"/>
  <c r="J141" i="11"/>
  <c r="I142" i="11"/>
  <c r="J142" i="11"/>
  <c r="I143" i="11"/>
  <c r="J143" i="11"/>
  <c r="I144" i="11"/>
  <c r="J144" i="11"/>
  <c r="I145" i="11"/>
  <c r="J145" i="11"/>
  <c r="I146" i="11"/>
  <c r="J146" i="11"/>
  <c r="I147" i="11"/>
  <c r="J147" i="11"/>
  <c r="I148" i="11"/>
  <c r="J148" i="11"/>
  <c r="I149" i="11"/>
  <c r="J149" i="11"/>
  <c r="I150" i="11"/>
  <c r="J150" i="11"/>
  <c r="I151" i="11"/>
  <c r="J15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21" i="11"/>
  <c r="E121" i="11"/>
  <c r="F121" i="11"/>
  <c r="E122" i="11"/>
  <c r="F122" i="11"/>
  <c r="E123" i="11"/>
  <c r="F123" i="11"/>
  <c r="E124" i="11"/>
  <c r="F124" i="11"/>
  <c r="E125" i="11"/>
  <c r="F125" i="11"/>
  <c r="E126" i="11"/>
  <c r="F126" i="11"/>
  <c r="E127" i="11"/>
  <c r="F127" i="11"/>
  <c r="E128" i="11"/>
  <c r="F128" i="11"/>
  <c r="E129" i="11"/>
  <c r="F129" i="11"/>
  <c r="E130" i="11"/>
  <c r="F130" i="11"/>
  <c r="E131" i="11"/>
  <c r="F131" i="11"/>
  <c r="E132" i="11"/>
  <c r="F132" i="11"/>
  <c r="E133" i="11"/>
  <c r="F133" i="11"/>
  <c r="E134" i="11"/>
  <c r="F134" i="11"/>
  <c r="E135" i="11"/>
  <c r="F135" i="11"/>
  <c r="E136" i="11"/>
  <c r="F136" i="11"/>
  <c r="E137" i="11"/>
  <c r="F137" i="11"/>
  <c r="E138" i="11"/>
  <c r="F138" i="11"/>
  <c r="E139" i="11"/>
  <c r="F139" i="11"/>
  <c r="E140" i="11"/>
  <c r="F140" i="11"/>
  <c r="E141" i="11"/>
  <c r="F141" i="11"/>
  <c r="E142" i="11"/>
  <c r="F142" i="11"/>
  <c r="E143" i="11"/>
  <c r="F143" i="11"/>
  <c r="E144" i="11"/>
  <c r="F144" i="11"/>
  <c r="E145" i="11"/>
  <c r="F145" i="11"/>
  <c r="E146" i="11"/>
  <c r="F146" i="11"/>
  <c r="E147" i="11"/>
  <c r="F147" i="11"/>
  <c r="E148" i="11"/>
  <c r="F148" i="11"/>
  <c r="E149" i="11"/>
  <c r="F149" i="11"/>
  <c r="E150" i="11"/>
  <c r="F150" i="11"/>
  <c r="E151" i="11"/>
  <c r="F15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21" i="11"/>
  <c r="E83" i="11"/>
  <c r="F83" i="11"/>
  <c r="E84" i="11"/>
  <c r="F84" i="11"/>
  <c r="E85" i="11"/>
  <c r="F85" i="11"/>
  <c r="E86" i="11"/>
  <c r="F86" i="11"/>
  <c r="E87" i="11"/>
  <c r="F87" i="11"/>
  <c r="E88" i="11"/>
  <c r="F88" i="11"/>
  <c r="E89" i="11"/>
  <c r="F89" i="11"/>
  <c r="E90" i="11"/>
  <c r="F90" i="11"/>
  <c r="E91" i="11"/>
  <c r="F91" i="11"/>
  <c r="E92" i="11"/>
  <c r="F92" i="11"/>
  <c r="E93" i="11"/>
  <c r="F93" i="11"/>
  <c r="E94" i="11"/>
  <c r="F94" i="11"/>
  <c r="E95" i="11"/>
  <c r="F95" i="11"/>
  <c r="E96" i="11"/>
  <c r="F96" i="11"/>
  <c r="E97" i="11"/>
  <c r="F97" i="11"/>
  <c r="E98" i="11"/>
  <c r="F98" i="11"/>
  <c r="E99" i="11"/>
  <c r="F99" i="11"/>
  <c r="E100" i="11"/>
  <c r="F100" i="11"/>
  <c r="E101" i="11"/>
  <c r="F101" i="11"/>
  <c r="E102" i="11"/>
  <c r="F102" i="11"/>
  <c r="E103" i="11"/>
  <c r="F103" i="11"/>
  <c r="E104" i="11"/>
  <c r="F104" i="11"/>
  <c r="E105" i="11"/>
  <c r="F105" i="11"/>
  <c r="E106" i="11"/>
  <c r="F106" i="11"/>
  <c r="E107" i="11"/>
  <c r="F107" i="11"/>
  <c r="E108" i="11"/>
  <c r="F108" i="11"/>
  <c r="E109" i="11"/>
  <c r="F109" i="11"/>
  <c r="E110" i="11"/>
  <c r="F110" i="11"/>
  <c r="E111" i="11"/>
  <c r="F111" i="11"/>
  <c r="E112" i="11"/>
  <c r="F112" i="11"/>
  <c r="E113" i="11"/>
  <c r="F11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83" i="11"/>
  <c r="I83" i="11"/>
  <c r="J83" i="11"/>
  <c r="I84" i="11"/>
  <c r="J84" i="11"/>
  <c r="I85" i="11"/>
  <c r="J85" i="11"/>
  <c r="I86" i="11"/>
  <c r="J86" i="11"/>
  <c r="I87" i="11"/>
  <c r="J87" i="11"/>
  <c r="I88" i="11"/>
  <c r="J88" i="11"/>
  <c r="I89" i="11"/>
  <c r="J89" i="11"/>
  <c r="I90" i="11"/>
  <c r="J90" i="11"/>
  <c r="I91" i="11"/>
  <c r="J91" i="11"/>
  <c r="I92" i="11"/>
  <c r="J92" i="11"/>
  <c r="I93" i="11"/>
  <c r="J93" i="11"/>
  <c r="I94" i="11"/>
  <c r="J94" i="11"/>
  <c r="I95" i="11"/>
  <c r="J95" i="11"/>
  <c r="I96" i="11"/>
  <c r="J96" i="11"/>
  <c r="I97" i="11"/>
  <c r="J97" i="11"/>
  <c r="I98" i="11"/>
  <c r="J98" i="11"/>
  <c r="I99" i="11"/>
  <c r="J99" i="11"/>
  <c r="I100" i="11"/>
  <c r="J100" i="11"/>
  <c r="I101" i="11"/>
  <c r="J101" i="11"/>
  <c r="I102" i="11"/>
  <c r="J102" i="11"/>
  <c r="I103" i="11"/>
  <c r="J103" i="11"/>
  <c r="I104" i="11"/>
  <c r="J104" i="11"/>
  <c r="I105" i="11"/>
  <c r="J105" i="11"/>
  <c r="I106" i="11"/>
  <c r="J106" i="11"/>
  <c r="I107" i="11"/>
  <c r="J107" i="11"/>
  <c r="I108" i="11"/>
  <c r="J108" i="11"/>
  <c r="I109" i="11"/>
  <c r="J109" i="11"/>
  <c r="I110" i="11"/>
  <c r="J110" i="11"/>
  <c r="I111" i="11"/>
  <c r="J111" i="11"/>
  <c r="I112" i="11"/>
  <c r="J112" i="11"/>
  <c r="I113" i="11"/>
  <c r="J11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83" i="11"/>
  <c r="S58" i="11"/>
  <c r="S74" i="11"/>
  <c r="S47" i="11"/>
  <c r="S51" i="11"/>
  <c r="S63" i="11"/>
  <c r="S67" i="11"/>
  <c r="S75" i="11"/>
  <c r="S46" i="11"/>
  <c r="L121" i="11"/>
  <c r="M121" i="11"/>
  <c r="N121" i="11"/>
  <c r="O121" i="11"/>
  <c r="P121" i="11"/>
  <c r="Q121" i="11"/>
  <c r="R121" i="11"/>
  <c r="L122" i="11"/>
  <c r="M122" i="11"/>
  <c r="N122" i="11"/>
  <c r="O122" i="11"/>
  <c r="P122" i="11"/>
  <c r="Q122" i="11"/>
  <c r="R122" i="11"/>
  <c r="L123" i="11"/>
  <c r="M123" i="11"/>
  <c r="N123" i="11"/>
  <c r="O123" i="11"/>
  <c r="P123" i="11"/>
  <c r="Q123" i="11"/>
  <c r="R123" i="11"/>
  <c r="L124" i="11"/>
  <c r="M124" i="11"/>
  <c r="N124" i="11"/>
  <c r="O124" i="11"/>
  <c r="P124" i="11"/>
  <c r="Q124" i="11"/>
  <c r="R124" i="11"/>
  <c r="L125" i="11"/>
  <c r="M125" i="11"/>
  <c r="N125" i="11"/>
  <c r="O125" i="11"/>
  <c r="P125" i="11"/>
  <c r="Q125" i="11"/>
  <c r="R125" i="11"/>
  <c r="L126" i="11"/>
  <c r="M126" i="11"/>
  <c r="N126" i="11"/>
  <c r="O126" i="11"/>
  <c r="P126" i="11"/>
  <c r="Q126" i="11"/>
  <c r="R126" i="11"/>
  <c r="L127" i="11"/>
  <c r="M127" i="11"/>
  <c r="N127" i="11"/>
  <c r="O127" i="11"/>
  <c r="P127" i="11"/>
  <c r="Q127" i="11"/>
  <c r="R127" i="11"/>
  <c r="L128" i="11"/>
  <c r="M128" i="11"/>
  <c r="N128" i="11"/>
  <c r="O128" i="11"/>
  <c r="P128" i="11"/>
  <c r="Q128" i="11"/>
  <c r="R128" i="11"/>
  <c r="L129" i="11"/>
  <c r="M129" i="11"/>
  <c r="N129" i="11"/>
  <c r="O129" i="11"/>
  <c r="P129" i="11"/>
  <c r="Q129" i="11"/>
  <c r="R129" i="11"/>
  <c r="L130" i="11"/>
  <c r="M130" i="11"/>
  <c r="N130" i="11"/>
  <c r="O130" i="11"/>
  <c r="P130" i="11"/>
  <c r="Q130" i="11"/>
  <c r="R130" i="11"/>
  <c r="L131" i="11"/>
  <c r="M131" i="11"/>
  <c r="N131" i="11"/>
  <c r="O131" i="11"/>
  <c r="P131" i="11"/>
  <c r="Q131" i="11"/>
  <c r="R131" i="11"/>
  <c r="L132" i="11"/>
  <c r="M132" i="11"/>
  <c r="N132" i="11"/>
  <c r="O132" i="11"/>
  <c r="P132" i="11"/>
  <c r="Q132" i="11"/>
  <c r="R132" i="11"/>
  <c r="L133" i="11"/>
  <c r="M133" i="11"/>
  <c r="N133" i="11"/>
  <c r="O133" i="11"/>
  <c r="P133" i="11"/>
  <c r="Q133" i="11"/>
  <c r="R133" i="11"/>
  <c r="L134" i="11"/>
  <c r="M134" i="11"/>
  <c r="N134" i="11"/>
  <c r="O134" i="11"/>
  <c r="P134" i="11"/>
  <c r="Q134" i="11"/>
  <c r="R134" i="11"/>
  <c r="L135" i="11"/>
  <c r="M135" i="11"/>
  <c r="N135" i="11"/>
  <c r="O135" i="11"/>
  <c r="P135" i="11"/>
  <c r="Q135" i="11"/>
  <c r="R135" i="11"/>
  <c r="L136" i="11"/>
  <c r="M136" i="11"/>
  <c r="N136" i="11"/>
  <c r="O136" i="11"/>
  <c r="P136" i="11"/>
  <c r="Q136" i="11"/>
  <c r="R136" i="11"/>
  <c r="L137" i="11"/>
  <c r="M137" i="11"/>
  <c r="N137" i="11"/>
  <c r="O137" i="11"/>
  <c r="P137" i="11"/>
  <c r="Q137" i="11"/>
  <c r="R137" i="11"/>
  <c r="L138" i="11"/>
  <c r="M138" i="11"/>
  <c r="N138" i="11"/>
  <c r="O138" i="11"/>
  <c r="P138" i="11"/>
  <c r="Q138" i="11"/>
  <c r="R138" i="11"/>
  <c r="L139" i="11"/>
  <c r="M139" i="11"/>
  <c r="N139" i="11"/>
  <c r="O139" i="11"/>
  <c r="P139" i="11"/>
  <c r="Q139" i="11"/>
  <c r="R139" i="11"/>
  <c r="L140" i="11"/>
  <c r="M140" i="11"/>
  <c r="N140" i="11"/>
  <c r="O140" i="11"/>
  <c r="P140" i="11"/>
  <c r="Q140" i="11"/>
  <c r="R140" i="11"/>
  <c r="L141" i="11"/>
  <c r="M141" i="11"/>
  <c r="N141" i="11"/>
  <c r="O141" i="11"/>
  <c r="P141" i="11"/>
  <c r="Q141" i="11"/>
  <c r="R141" i="11"/>
  <c r="L142" i="11"/>
  <c r="M142" i="11"/>
  <c r="N142" i="11"/>
  <c r="O142" i="11"/>
  <c r="P142" i="11"/>
  <c r="Q142" i="11"/>
  <c r="R142" i="11"/>
  <c r="L143" i="11"/>
  <c r="M143" i="11"/>
  <c r="N143" i="11"/>
  <c r="O143" i="11"/>
  <c r="P143" i="11"/>
  <c r="Q143" i="11"/>
  <c r="R143" i="11"/>
  <c r="L144" i="11"/>
  <c r="M144" i="11"/>
  <c r="N144" i="11"/>
  <c r="O144" i="11"/>
  <c r="P144" i="11"/>
  <c r="Q144" i="11"/>
  <c r="R144" i="11"/>
  <c r="L145" i="11"/>
  <c r="M145" i="11"/>
  <c r="N145" i="11"/>
  <c r="O145" i="11"/>
  <c r="P145" i="11"/>
  <c r="Q145" i="11"/>
  <c r="R145" i="11"/>
  <c r="L146" i="11"/>
  <c r="M146" i="11"/>
  <c r="N146" i="11"/>
  <c r="O146" i="11"/>
  <c r="P146" i="11"/>
  <c r="Q146" i="11"/>
  <c r="R146" i="11"/>
  <c r="L147" i="11"/>
  <c r="M147" i="11"/>
  <c r="N147" i="11"/>
  <c r="O147" i="11"/>
  <c r="P147" i="11"/>
  <c r="Q147" i="11"/>
  <c r="R147" i="11"/>
  <c r="L148" i="11"/>
  <c r="M148" i="11"/>
  <c r="N148" i="11"/>
  <c r="O148" i="11"/>
  <c r="P148" i="11"/>
  <c r="Q148" i="11"/>
  <c r="R148" i="11"/>
  <c r="L149" i="11"/>
  <c r="M149" i="11"/>
  <c r="N149" i="11"/>
  <c r="O149" i="11"/>
  <c r="P149" i="11"/>
  <c r="Q149" i="11"/>
  <c r="R149" i="11"/>
  <c r="L150" i="11"/>
  <c r="M150" i="11"/>
  <c r="N150" i="11"/>
  <c r="O150" i="11"/>
  <c r="P150" i="11"/>
  <c r="Q150" i="11"/>
  <c r="R150" i="11"/>
  <c r="L151" i="11"/>
  <c r="M151" i="11"/>
  <c r="N151" i="11"/>
  <c r="O151" i="11"/>
  <c r="P151" i="11"/>
  <c r="Q151" i="11"/>
  <c r="R15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21" i="11"/>
  <c r="L83" i="11"/>
  <c r="M83" i="11"/>
  <c r="N83" i="11"/>
  <c r="O83" i="11"/>
  <c r="P83" i="11"/>
  <c r="L84" i="11"/>
  <c r="M84" i="11"/>
  <c r="N84" i="11"/>
  <c r="O84" i="11"/>
  <c r="P84" i="11"/>
  <c r="L85" i="11"/>
  <c r="M85" i="11"/>
  <c r="N85" i="11"/>
  <c r="O85" i="11"/>
  <c r="P85" i="11"/>
  <c r="L86" i="11"/>
  <c r="M86" i="11"/>
  <c r="N86" i="11"/>
  <c r="O86" i="11"/>
  <c r="P86" i="11"/>
  <c r="L87" i="11"/>
  <c r="M87" i="11"/>
  <c r="N87" i="11"/>
  <c r="O87" i="11"/>
  <c r="P87" i="11"/>
  <c r="L88" i="11"/>
  <c r="M88" i="11"/>
  <c r="N88" i="11"/>
  <c r="O88" i="11"/>
  <c r="P88" i="11"/>
  <c r="L89" i="11"/>
  <c r="M89" i="11"/>
  <c r="N89" i="11"/>
  <c r="O89" i="11"/>
  <c r="P89" i="11"/>
  <c r="L90" i="11"/>
  <c r="M90" i="11"/>
  <c r="N90" i="11"/>
  <c r="O90" i="11"/>
  <c r="P90" i="11"/>
  <c r="L91" i="11"/>
  <c r="M91" i="11"/>
  <c r="N91" i="11"/>
  <c r="O91" i="11"/>
  <c r="P91" i="11"/>
  <c r="L92" i="11"/>
  <c r="M92" i="11"/>
  <c r="N92" i="11"/>
  <c r="O92" i="11"/>
  <c r="P92" i="11"/>
  <c r="L93" i="11"/>
  <c r="M93" i="11"/>
  <c r="N93" i="11"/>
  <c r="O93" i="11"/>
  <c r="P93" i="11"/>
  <c r="L94" i="11"/>
  <c r="M94" i="11"/>
  <c r="N94" i="11"/>
  <c r="O94" i="11"/>
  <c r="P94" i="11"/>
  <c r="L95" i="11"/>
  <c r="M95" i="11"/>
  <c r="N95" i="11"/>
  <c r="O95" i="11"/>
  <c r="P95" i="11"/>
  <c r="L96" i="11"/>
  <c r="M96" i="11"/>
  <c r="N96" i="11"/>
  <c r="O96" i="11"/>
  <c r="P96" i="11"/>
  <c r="L97" i="11"/>
  <c r="M97" i="11"/>
  <c r="N97" i="11"/>
  <c r="O97" i="11"/>
  <c r="P97" i="11"/>
  <c r="L98" i="11"/>
  <c r="M98" i="11"/>
  <c r="N98" i="11"/>
  <c r="O98" i="11"/>
  <c r="P98" i="11"/>
  <c r="L99" i="11"/>
  <c r="M99" i="11"/>
  <c r="N99" i="11"/>
  <c r="O99" i="11"/>
  <c r="P99" i="11"/>
  <c r="L100" i="11"/>
  <c r="M100" i="11"/>
  <c r="N100" i="11"/>
  <c r="O100" i="11"/>
  <c r="P100" i="11"/>
  <c r="L101" i="11"/>
  <c r="M101" i="11"/>
  <c r="N101" i="11"/>
  <c r="O101" i="11"/>
  <c r="P101" i="11"/>
  <c r="L102" i="11"/>
  <c r="M102" i="11"/>
  <c r="N102" i="11"/>
  <c r="O102" i="11"/>
  <c r="P102" i="11"/>
  <c r="L103" i="11"/>
  <c r="M103" i="11"/>
  <c r="N103" i="11"/>
  <c r="O103" i="11"/>
  <c r="P103" i="11"/>
  <c r="L104" i="11"/>
  <c r="M104" i="11"/>
  <c r="N104" i="11"/>
  <c r="O104" i="11"/>
  <c r="P104" i="11"/>
  <c r="L105" i="11"/>
  <c r="M105" i="11"/>
  <c r="N105" i="11"/>
  <c r="O105" i="11"/>
  <c r="P105" i="11"/>
  <c r="L106" i="11"/>
  <c r="M106" i="11"/>
  <c r="N106" i="11"/>
  <c r="O106" i="11"/>
  <c r="P106" i="11"/>
  <c r="L107" i="11"/>
  <c r="M107" i="11"/>
  <c r="N107" i="11"/>
  <c r="O107" i="11"/>
  <c r="P107" i="11"/>
  <c r="L108" i="11"/>
  <c r="M108" i="11"/>
  <c r="N108" i="11"/>
  <c r="O108" i="11"/>
  <c r="P108" i="11"/>
  <c r="L109" i="11"/>
  <c r="M109" i="11"/>
  <c r="N109" i="11"/>
  <c r="O109" i="11"/>
  <c r="P109" i="11"/>
  <c r="L110" i="11"/>
  <c r="M110" i="11"/>
  <c r="N110" i="11"/>
  <c r="O110" i="11"/>
  <c r="P110" i="11"/>
  <c r="L111" i="11"/>
  <c r="M111" i="11"/>
  <c r="N111" i="11"/>
  <c r="O111" i="11"/>
  <c r="P111" i="11"/>
  <c r="L112" i="11"/>
  <c r="M112" i="11"/>
  <c r="N112" i="11"/>
  <c r="O112" i="11"/>
  <c r="P112" i="11"/>
  <c r="L113" i="11"/>
  <c r="M113" i="11"/>
  <c r="N113" i="11"/>
  <c r="O113" i="11"/>
  <c r="P11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83" i="11"/>
  <c r="L46" i="11"/>
  <c r="M46" i="11"/>
  <c r="N46" i="11"/>
  <c r="O46" i="11"/>
  <c r="P46" i="11"/>
  <c r="L47" i="11"/>
  <c r="M47" i="11"/>
  <c r="N47" i="11"/>
  <c r="O47" i="11"/>
  <c r="P47" i="11"/>
  <c r="L48" i="11"/>
  <c r="M48" i="11"/>
  <c r="N48" i="11"/>
  <c r="O48" i="11"/>
  <c r="P48" i="11"/>
  <c r="L49" i="11"/>
  <c r="M49" i="11"/>
  <c r="N49" i="11"/>
  <c r="O49" i="11"/>
  <c r="P49" i="11"/>
  <c r="L50" i="11"/>
  <c r="M50" i="11"/>
  <c r="N50" i="11"/>
  <c r="O50" i="11"/>
  <c r="P50" i="11"/>
  <c r="L51" i="11"/>
  <c r="M51" i="11"/>
  <c r="N51" i="11"/>
  <c r="O51" i="11"/>
  <c r="P51" i="11"/>
  <c r="L52" i="11"/>
  <c r="M52" i="11"/>
  <c r="N52" i="11"/>
  <c r="O52" i="11"/>
  <c r="P52" i="11"/>
  <c r="L53" i="11"/>
  <c r="M53" i="11"/>
  <c r="N53" i="11"/>
  <c r="O53" i="11"/>
  <c r="P53" i="11"/>
  <c r="L54" i="11"/>
  <c r="M54" i="11"/>
  <c r="N54" i="11"/>
  <c r="O54" i="11"/>
  <c r="P54" i="11"/>
  <c r="L55" i="11"/>
  <c r="M55" i="11"/>
  <c r="N55" i="11"/>
  <c r="O55" i="11"/>
  <c r="P55" i="11"/>
  <c r="L56" i="11"/>
  <c r="M56" i="11"/>
  <c r="N56" i="11"/>
  <c r="O56" i="11"/>
  <c r="P56" i="11"/>
  <c r="L57" i="11"/>
  <c r="M57" i="11"/>
  <c r="N57" i="11"/>
  <c r="O57" i="11"/>
  <c r="P57" i="11"/>
  <c r="L58" i="11"/>
  <c r="M58" i="11"/>
  <c r="N58" i="11"/>
  <c r="O58" i="11"/>
  <c r="P58" i="11"/>
  <c r="L59" i="11"/>
  <c r="M59" i="11"/>
  <c r="N59" i="11"/>
  <c r="O59" i="11"/>
  <c r="P59" i="11"/>
  <c r="L60" i="11"/>
  <c r="M60" i="11"/>
  <c r="N60" i="11"/>
  <c r="O60" i="11"/>
  <c r="P60" i="11"/>
  <c r="L61" i="11"/>
  <c r="M61" i="11"/>
  <c r="N61" i="11"/>
  <c r="O61" i="11"/>
  <c r="P61" i="11"/>
  <c r="L62" i="11"/>
  <c r="M62" i="11"/>
  <c r="N62" i="11"/>
  <c r="O62" i="11"/>
  <c r="P62" i="11"/>
  <c r="L63" i="11"/>
  <c r="M63" i="11"/>
  <c r="N63" i="11"/>
  <c r="O63" i="11"/>
  <c r="P63" i="11"/>
  <c r="L64" i="11"/>
  <c r="M64" i="11"/>
  <c r="N64" i="11"/>
  <c r="O64" i="11"/>
  <c r="P64" i="11"/>
  <c r="L65" i="11"/>
  <c r="M65" i="11"/>
  <c r="N65" i="11"/>
  <c r="O65" i="11"/>
  <c r="P65" i="11"/>
  <c r="L66" i="11"/>
  <c r="M66" i="11"/>
  <c r="N66" i="11"/>
  <c r="O66" i="11"/>
  <c r="P66" i="11"/>
  <c r="L67" i="11"/>
  <c r="M67" i="11"/>
  <c r="N67" i="11"/>
  <c r="O67" i="11"/>
  <c r="P67" i="11"/>
  <c r="L68" i="11"/>
  <c r="M68" i="11"/>
  <c r="N68" i="11"/>
  <c r="O68" i="11"/>
  <c r="P68" i="11"/>
  <c r="L69" i="11"/>
  <c r="M69" i="11"/>
  <c r="N69" i="11"/>
  <c r="O69" i="11"/>
  <c r="P69" i="11"/>
  <c r="L70" i="11"/>
  <c r="M70" i="11"/>
  <c r="N70" i="11"/>
  <c r="O70" i="11"/>
  <c r="P70" i="11"/>
  <c r="L71" i="11"/>
  <c r="M71" i="11"/>
  <c r="N71" i="11"/>
  <c r="O71" i="11"/>
  <c r="P71" i="11"/>
  <c r="L72" i="11"/>
  <c r="M72" i="11"/>
  <c r="N72" i="11"/>
  <c r="O72" i="11"/>
  <c r="P72" i="11"/>
  <c r="L73" i="11"/>
  <c r="M73" i="11"/>
  <c r="N73" i="11"/>
  <c r="O73" i="11"/>
  <c r="P73" i="11"/>
  <c r="L74" i="11"/>
  <c r="M74" i="11"/>
  <c r="N74" i="11"/>
  <c r="O74" i="11"/>
  <c r="P74" i="11"/>
  <c r="L75" i="11"/>
  <c r="M75" i="11"/>
  <c r="N75" i="11"/>
  <c r="O75" i="11"/>
  <c r="P75" i="11"/>
  <c r="L76" i="11"/>
  <c r="M76" i="11"/>
  <c r="N76" i="11"/>
  <c r="O76" i="11"/>
  <c r="P7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46" i="11"/>
  <c r="C7" i="3"/>
  <c r="I46" i="11"/>
  <c r="J46" i="11"/>
  <c r="I47" i="11"/>
  <c r="J47" i="11"/>
  <c r="I48" i="11"/>
  <c r="J48" i="11"/>
  <c r="I49" i="11"/>
  <c r="J49" i="11"/>
  <c r="I50" i="11"/>
  <c r="J50" i="11"/>
  <c r="I51" i="11"/>
  <c r="J51" i="11"/>
  <c r="I52" i="11"/>
  <c r="J52" i="11"/>
  <c r="I53" i="11"/>
  <c r="J53" i="11"/>
  <c r="I54" i="11"/>
  <c r="J54" i="11"/>
  <c r="I55" i="11"/>
  <c r="J55" i="11"/>
  <c r="I56" i="11"/>
  <c r="J56" i="11"/>
  <c r="I57" i="11"/>
  <c r="J57" i="11"/>
  <c r="I58" i="11"/>
  <c r="J58" i="11"/>
  <c r="I59" i="11"/>
  <c r="J59" i="11"/>
  <c r="I60" i="11"/>
  <c r="J60" i="11"/>
  <c r="I61" i="11"/>
  <c r="J61" i="11"/>
  <c r="I62" i="11"/>
  <c r="J62" i="11"/>
  <c r="I63" i="11"/>
  <c r="J63" i="11"/>
  <c r="I64" i="11"/>
  <c r="J64" i="11"/>
  <c r="I65" i="11"/>
  <c r="J65" i="11"/>
  <c r="I66" i="11"/>
  <c r="J66" i="11"/>
  <c r="I67" i="11"/>
  <c r="J67" i="11"/>
  <c r="I68" i="11"/>
  <c r="J68" i="11"/>
  <c r="I69" i="11"/>
  <c r="J69" i="11"/>
  <c r="I70" i="11"/>
  <c r="J70" i="11"/>
  <c r="I71" i="11"/>
  <c r="J71" i="11"/>
  <c r="I72" i="11"/>
  <c r="J72" i="11"/>
  <c r="I73" i="11"/>
  <c r="J73" i="11"/>
  <c r="I74" i="11"/>
  <c r="J74" i="11"/>
  <c r="I75" i="11"/>
  <c r="J75" i="11"/>
  <c r="I76" i="11"/>
  <c r="J7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46" i="11"/>
  <c r="B122" i="1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84" i="1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S66" i="11"/>
  <c r="B47" i="1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M11" i="11"/>
  <c r="L9" i="11"/>
  <c r="M9" i="11"/>
  <c r="N9" i="11"/>
  <c r="O9" i="11"/>
  <c r="P9" i="11"/>
  <c r="L10" i="11"/>
  <c r="M10" i="11"/>
  <c r="N10" i="11"/>
  <c r="O10" i="11"/>
  <c r="P10" i="11"/>
  <c r="L11" i="11"/>
  <c r="N11" i="11"/>
  <c r="O11" i="11"/>
  <c r="P11" i="11"/>
  <c r="L12" i="11"/>
  <c r="M12" i="11"/>
  <c r="N12" i="11"/>
  <c r="O12" i="11"/>
  <c r="P12" i="11"/>
  <c r="L13" i="11"/>
  <c r="M13" i="11"/>
  <c r="N13" i="11"/>
  <c r="O13" i="11"/>
  <c r="P13" i="11"/>
  <c r="L14" i="11"/>
  <c r="M14" i="11"/>
  <c r="N14" i="11"/>
  <c r="O14" i="11"/>
  <c r="P14" i="11"/>
  <c r="L15" i="11"/>
  <c r="M15" i="11"/>
  <c r="N15" i="11"/>
  <c r="O15" i="11"/>
  <c r="P15" i="11"/>
  <c r="L16" i="11"/>
  <c r="M16" i="11"/>
  <c r="N16" i="11"/>
  <c r="O16" i="11"/>
  <c r="P16" i="11"/>
  <c r="L17" i="11"/>
  <c r="M17" i="11"/>
  <c r="N17" i="11"/>
  <c r="O17" i="11"/>
  <c r="P17" i="11"/>
  <c r="L18" i="11"/>
  <c r="M18" i="11"/>
  <c r="N18" i="11"/>
  <c r="O18" i="11"/>
  <c r="P18" i="11"/>
  <c r="L19" i="11"/>
  <c r="M19" i="11"/>
  <c r="N19" i="11"/>
  <c r="O19" i="11"/>
  <c r="P19" i="11"/>
  <c r="L20" i="11"/>
  <c r="M20" i="11"/>
  <c r="N20" i="11"/>
  <c r="O20" i="11"/>
  <c r="P20" i="11"/>
  <c r="L21" i="11"/>
  <c r="M21" i="11"/>
  <c r="N21" i="11"/>
  <c r="O21" i="11"/>
  <c r="P21" i="11"/>
  <c r="L22" i="11"/>
  <c r="M22" i="11"/>
  <c r="N22" i="11"/>
  <c r="O22" i="11"/>
  <c r="P22" i="11"/>
  <c r="L23" i="11"/>
  <c r="M23" i="11"/>
  <c r="N23" i="11"/>
  <c r="O23" i="11"/>
  <c r="P23" i="11"/>
  <c r="L24" i="11"/>
  <c r="M24" i="11"/>
  <c r="N24" i="11"/>
  <c r="O24" i="11"/>
  <c r="P24" i="11"/>
  <c r="L25" i="11"/>
  <c r="M25" i="11"/>
  <c r="N25" i="11"/>
  <c r="O25" i="11"/>
  <c r="P25" i="11"/>
  <c r="L26" i="11"/>
  <c r="M26" i="11"/>
  <c r="N26" i="11"/>
  <c r="O26" i="11"/>
  <c r="P26" i="11"/>
  <c r="L27" i="11"/>
  <c r="M27" i="11"/>
  <c r="N27" i="11"/>
  <c r="O27" i="11"/>
  <c r="P27" i="11"/>
  <c r="L28" i="11"/>
  <c r="M28" i="11"/>
  <c r="N28" i="11"/>
  <c r="O28" i="11"/>
  <c r="P28" i="11"/>
  <c r="L29" i="11"/>
  <c r="M29" i="11"/>
  <c r="N29" i="11"/>
  <c r="O29" i="11"/>
  <c r="P29" i="11"/>
  <c r="L30" i="11"/>
  <c r="M30" i="11"/>
  <c r="N30" i="11"/>
  <c r="O30" i="11"/>
  <c r="P30" i="11"/>
  <c r="L31" i="11"/>
  <c r="M31" i="11"/>
  <c r="N31" i="11"/>
  <c r="O31" i="11"/>
  <c r="P31" i="11"/>
  <c r="L32" i="11"/>
  <c r="M32" i="11"/>
  <c r="N32" i="11"/>
  <c r="O32" i="11"/>
  <c r="P32" i="11"/>
  <c r="L33" i="11"/>
  <c r="M33" i="11"/>
  <c r="N33" i="11"/>
  <c r="O33" i="11"/>
  <c r="P33" i="11"/>
  <c r="L34" i="11"/>
  <c r="M34" i="11"/>
  <c r="N34" i="11"/>
  <c r="O34" i="11"/>
  <c r="P34" i="11"/>
  <c r="L35" i="11"/>
  <c r="M35" i="11"/>
  <c r="N35" i="11"/>
  <c r="O35" i="11"/>
  <c r="P35" i="11"/>
  <c r="L36" i="11"/>
  <c r="M36" i="11"/>
  <c r="N36" i="11"/>
  <c r="O36" i="11"/>
  <c r="P36" i="11"/>
  <c r="L37" i="11"/>
  <c r="M37" i="11"/>
  <c r="N37" i="11"/>
  <c r="O37" i="11"/>
  <c r="P37" i="11"/>
  <c r="L38" i="11"/>
  <c r="M38" i="11"/>
  <c r="N38" i="11"/>
  <c r="O38" i="11"/>
  <c r="P38" i="11"/>
  <c r="L39" i="11"/>
  <c r="M39" i="11"/>
  <c r="N39" i="11"/>
  <c r="O39" i="11"/>
  <c r="P39" i="11"/>
  <c r="K11" i="11"/>
  <c r="K12" i="11"/>
  <c r="K13" i="11"/>
  <c r="K14" i="11"/>
  <c r="K15" i="11"/>
  <c r="K16" i="11"/>
  <c r="K17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B10" i="1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R10" i="11"/>
  <c r="R11" i="11"/>
  <c r="R12" i="11"/>
  <c r="S12" i="11" s="1"/>
  <c r="R13" i="11"/>
  <c r="R14" i="11"/>
  <c r="R15" i="11"/>
  <c r="R16" i="11"/>
  <c r="S16" i="11" s="1"/>
  <c r="R17" i="11"/>
  <c r="R18" i="11"/>
  <c r="R19" i="11"/>
  <c r="R20" i="11"/>
  <c r="S20" i="11" s="1"/>
  <c r="R21" i="11"/>
  <c r="R22" i="11"/>
  <c r="R23" i="11"/>
  <c r="R24" i="11"/>
  <c r="S24" i="11" s="1"/>
  <c r="R25" i="11"/>
  <c r="R26" i="11"/>
  <c r="R27" i="11"/>
  <c r="R28" i="11"/>
  <c r="S28" i="11" s="1"/>
  <c r="R29" i="11"/>
  <c r="R30" i="11"/>
  <c r="R31" i="11"/>
  <c r="R32" i="11"/>
  <c r="S32" i="11" s="1"/>
  <c r="R33" i="11"/>
  <c r="R34" i="11"/>
  <c r="R35" i="11"/>
  <c r="R36" i="11"/>
  <c r="S36" i="11" s="1"/>
  <c r="R37" i="11"/>
  <c r="R38" i="11"/>
  <c r="R39" i="11"/>
  <c r="R9" i="11"/>
  <c r="S9" i="11" s="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I16" i="11"/>
  <c r="J16" i="11"/>
  <c r="I17" i="11"/>
  <c r="J17" i="11"/>
  <c r="I18" i="11"/>
  <c r="J18" i="11"/>
  <c r="I19" i="11"/>
  <c r="J19" i="11"/>
  <c r="I20" i="11"/>
  <c r="J20" i="11"/>
  <c r="I21" i="11"/>
  <c r="J21" i="11"/>
  <c r="I22" i="11"/>
  <c r="J22" i="11"/>
  <c r="I23" i="11"/>
  <c r="J23" i="11"/>
  <c r="I24" i="11"/>
  <c r="J24" i="11"/>
  <c r="I25" i="11"/>
  <c r="J25" i="11"/>
  <c r="I26" i="11"/>
  <c r="J26" i="11"/>
  <c r="I27" i="11"/>
  <c r="J27" i="11"/>
  <c r="I28" i="11"/>
  <c r="J28" i="11"/>
  <c r="I29" i="11"/>
  <c r="J29" i="11"/>
  <c r="I30" i="11"/>
  <c r="J30" i="11"/>
  <c r="I31" i="11"/>
  <c r="J31" i="11"/>
  <c r="I32" i="11"/>
  <c r="J32" i="11"/>
  <c r="I33" i="11"/>
  <c r="J33" i="11"/>
  <c r="I34" i="11"/>
  <c r="J34" i="11"/>
  <c r="I35" i="11"/>
  <c r="J35" i="11"/>
  <c r="I36" i="11"/>
  <c r="J36" i="11"/>
  <c r="I37" i="11"/>
  <c r="J37" i="11"/>
  <c r="I38" i="11"/>
  <c r="J38" i="11"/>
  <c r="I39" i="11"/>
  <c r="J3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9" i="1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7" i="3"/>
  <c r="U7" i="3"/>
  <c r="F7" i="3" l="1"/>
  <c r="S50" i="11"/>
  <c r="S73" i="11"/>
  <c r="S69" i="11"/>
  <c r="S65" i="11"/>
  <c r="S57" i="11"/>
  <c r="S53" i="11"/>
  <c r="S49" i="11"/>
  <c r="T108" i="11"/>
  <c r="T100" i="11"/>
  <c r="T88" i="11"/>
  <c r="T36" i="11"/>
  <c r="T32" i="11"/>
  <c r="T28" i="11"/>
  <c r="T24" i="11"/>
  <c r="T20" i="11"/>
  <c r="T16" i="11"/>
  <c r="T12" i="11"/>
  <c r="S38" i="11"/>
  <c r="S37" i="11"/>
  <c r="S34" i="11"/>
  <c r="S30" i="11"/>
  <c r="S26" i="11"/>
  <c r="S22" i="11"/>
  <c r="S18" i="11"/>
  <c r="S14" i="11"/>
  <c r="S10" i="11"/>
  <c r="S70" i="11"/>
  <c r="S62" i="11"/>
  <c r="S54" i="11"/>
  <c r="S64" i="11"/>
  <c r="S60" i="11"/>
  <c r="S48" i="11"/>
  <c r="S108" i="11"/>
  <c r="V121" i="11"/>
  <c r="V148" i="11"/>
  <c r="V144" i="11"/>
  <c r="V140" i="11"/>
  <c r="V136" i="11"/>
  <c r="V132" i="11"/>
  <c r="V128" i="11"/>
  <c r="V124" i="11"/>
  <c r="U151" i="11"/>
  <c r="U147" i="11"/>
  <c r="U143" i="11"/>
  <c r="U139" i="11"/>
  <c r="U135" i="11"/>
  <c r="U131" i="11"/>
  <c r="U127" i="11"/>
  <c r="U123" i="11"/>
  <c r="U150" i="11"/>
  <c r="U146" i="11"/>
  <c r="U142" i="11"/>
  <c r="U138" i="11"/>
  <c r="U134" i="11"/>
  <c r="U130" i="11"/>
  <c r="U126" i="11"/>
  <c r="U122" i="11"/>
  <c r="V150" i="11"/>
  <c r="V146" i="11"/>
  <c r="V142" i="11"/>
  <c r="V138" i="11"/>
  <c r="V134" i="11"/>
  <c r="V130" i="11"/>
  <c r="V126" i="11"/>
  <c r="V122" i="11"/>
  <c r="T37" i="11"/>
  <c r="T33" i="11"/>
  <c r="T29" i="11"/>
  <c r="T25" i="11"/>
  <c r="T21" i="11"/>
  <c r="T17" i="11"/>
  <c r="T13" i="11"/>
  <c r="S33" i="11"/>
  <c r="S29" i="11"/>
  <c r="S25" i="11"/>
  <c r="S21" i="11"/>
  <c r="S90" i="11"/>
  <c r="S112" i="11"/>
  <c r="X38" i="11" s="1"/>
  <c r="E37" i="8" s="1"/>
  <c r="S104" i="11"/>
  <c r="S100" i="11"/>
  <c r="S96" i="11"/>
  <c r="S92" i="11"/>
  <c r="S84" i="11"/>
  <c r="T101" i="11"/>
  <c r="U149" i="11"/>
  <c r="U145" i="11"/>
  <c r="U141" i="11"/>
  <c r="U137" i="11"/>
  <c r="U133" i="11"/>
  <c r="U129" i="11"/>
  <c r="U125" i="11"/>
  <c r="U121" i="11"/>
  <c r="V149" i="11"/>
  <c r="V145" i="11"/>
  <c r="V141" i="11"/>
  <c r="V137" i="11"/>
  <c r="V133" i="11"/>
  <c r="V129" i="11"/>
  <c r="V125" i="11"/>
  <c r="V151" i="11"/>
  <c r="V147" i="11"/>
  <c r="V143" i="11"/>
  <c r="V139" i="11"/>
  <c r="V135" i="11"/>
  <c r="V131" i="11"/>
  <c r="V127" i="11"/>
  <c r="V123" i="11"/>
  <c r="U148" i="11"/>
  <c r="U144" i="11"/>
  <c r="U140" i="11"/>
  <c r="U136" i="11"/>
  <c r="U132" i="11"/>
  <c r="U128" i="11"/>
  <c r="U124" i="11"/>
  <c r="T38" i="11"/>
  <c r="T34" i="11"/>
  <c r="T30" i="11"/>
  <c r="T26" i="11"/>
  <c r="T22" i="11"/>
  <c r="T18" i="11"/>
  <c r="T14" i="11"/>
  <c r="T10" i="11"/>
  <c r="T71" i="11"/>
  <c r="T59" i="11"/>
  <c r="T55" i="11"/>
  <c r="T51" i="11"/>
  <c r="T47" i="11"/>
  <c r="S87" i="11"/>
  <c r="S17" i="11"/>
  <c r="S13" i="11"/>
  <c r="T9" i="11"/>
  <c r="T39" i="11"/>
  <c r="T35" i="11"/>
  <c r="T31" i="11"/>
  <c r="T27" i="11"/>
  <c r="T23" i="11"/>
  <c r="T19" i="11"/>
  <c r="T15" i="11"/>
  <c r="T11" i="11"/>
  <c r="S39" i="11"/>
  <c r="S35" i="11"/>
  <c r="S31" i="11"/>
  <c r="S27" i="11"/>
  <c r="S23" i="11"/>
  <c r="S19" i="11"/>
  <c r="S15" i="11"/>
  <c r="S11" i="11"/>
  <c r="T102" i="11"/>
  <c r="T98" i="11"/>
  <c r="T94" i="11"/>
  <c r="T99" i="11"/>
  <c r="S111" i="11"/>
  <c r="S83" i="11"/>
  <c r="S86" i="11"/>
  <c r="S94" i="11"/>
  <c r="S105" i="11"/>
  <c r="S89" i="11"/>
  <c r="S97" i="11"/>
  <c r="S102" i="11"/>
  <c r="S110" i="11"/>
  <c r="S103" i="11"/>
  <c r="S95" i="11"/>
  <c r="S91" i="11"/>
  <c r="S107" i="11"/>
  <c r="S99" i="11"/>
  <c r="T83" i="11"/>
  <c r="T110" i="11"/>
  <c r="T107" i="11"/>
  <c r="T87" i="11"/>
  <c r="T72" i="11"/>
  <c r="T56" i="11"/>
  <c r="S61" i="11"/>
  <c r="T48" i="11"/>
  <c r="S55" i="11"/>
  <c r="S59" i="11"/>
  <c r="T64" i="11"/>
  <c r="S71" i="11"/>
  <c r="S76" i="11"/>
  <c r="T85" i="11"/>
  <c r="S85" i="11"/>
  <c r="S88" i="11"/>
  <c r="T90" i="11"/>
  <c r="T113" i="11"/>
  <c r="S113" i="11"/>
  <c r="T76" i="11"/>
  <c r="T74" i="11"/>
  <c r="T70" i="11"/>
  <c r="T68" i="11"/>
  <c r="T60" i="11"/>
  <c r="T52" i="11"/>
  <c r="T49" i="11"/>
  <c r="T46" i="11"/>
  <c r="T84" i="11"/>
  <c r="T89" i="11"/>
  <c r="T91" i="11"/>
  <c r="T92" i="11"/>
  <c r="S52" i="11"/>
  <c r="S56" i="11"/>
  <c r="S68" i="11"/>
  <c r="S72" i="11"/>
  <c r="T86" i="11"/>
  <c r="T93" i="11"/>
  <c r="S93" i="11"/>
  <c r="T95" i="11"/>
  <c r="T96" i="11"/>
  <c r="T97" i="11"/>
  <c r="S98" i="11"/>
  <c r="S101" i="11"/>
  <c r="T103" i="11"/>
  <c r="T104" i="11"/>
  <c r="T105" i="11"/>
  <c r="T106" i="11"/>
  <c r="S106" i="11"/>
  <c r="T109" i="11"/>
  <c r="S109" i="11"/>
  <c r="T111" i="11"/>
  <c r="T112" i="11"/>
  <c r="T75" i="11"/>
  <c r="T67" i="11"/>
  <c r="T63" i="11"/>
  <c r="T61" i="11"/>
  <c r="T73" i="11"/>
  <c r="T69" i="11"/>
  <c r="T65" i="11"/>
  <c r="T57" i="11"/>
  <c r="T53" i="11"/>
  <c r="T62" i="11"/>
  <c r="T58" i="11"/>
  <c r="T54" i="11"/>
  <c r="T50" i="11"/>
  <c r="T66" i="11"/>
  <c r="G7" i="3"/>
  <c r="H7" i="3"/>
  <c r="M7" i="3"/>
  <c r="C8" i="3"/>
  <c r="H8" i="3"/>
  <c r="M8" i="3"/>
  <c r="U8" i="3"/>
  <c r="C9" i="3"/>
  <c r="H9" i="3"/>
  <c r="M9" i="3"/>
  <c r="U9" i="3"/>
  <c r="C10" i="3"/>
  <c r="H10" i="3"/>
  <c r="M10" i="3"/>
  <c r="U10" i="3"/>
  <c r="C11" i="3"/>
  <c r="H11" i="3"/>
  <c r="M11" i="3"/>
  <c r="U11" i="3"/>
  <c r="C12" i="3"/>
  <c r="H12" i="3"/>
  <c r="M12" i="3"/>
  <c r="U12" i="3"/>
  <c r="C13" i="3"/>
  <c r="H13" i="3"/>
  <c r="M13" i="3"/>
  <c r="U13" i="3"/>
  <c r="C14" i="3"/>
  <c r="H14" i="3"/>
  <c r="M14" i="3"/>
  <c r="U14" i="3"/>
  <c r="C15" i="3"/>
  <c r="H15" i="3"/>
  <c r="M15" i="3"/>
  <c r="U15" i="3"/>
  <c r="C16" i="3"/>
  <c r="H16" i="3"/>
  <c r="M16" i="3"/>
  <c r="U16" i="3"/>
  <c r="C17" i="3"/>
  <c r="H17" i="3"/>
  <c r="M17" i="3"/>
  <c r="U17" i="3"/>
  <c r="C18" i="3"/>
  <c r="H18" i="3"/>
  <c r="M18" i="3"/>
  <c r="U18" i="3"/>
  <c r="C19" i="3"/>
  <c r="H19" i="3"/>
  <c r="M19" i="3"/>
  <c r="U19" i="3"/>
  <c r="C20" i="3"/>
  <c r="H20" i="3"/>
  <c r="M20" i="3"/>
  <c r="U20" i="3"/>
  <c r="C21" i="3"/>
  <c r="H21" i="3"/>
  <c r="K21" i="3" s="1"/>
  <c r="M21" i="3"/>
  <c r="U21" i="3"/>
  <c r="C22" i="3"/>
  <c r="H22" i="3"/>
  <c r="M22" i="3"/>
  <c r="U22" i="3"/>
  <c r="C23" i="3"/>
  <c r="H23" i="3"/>
  <c r="M23" i="3"/>
  <c r="U23" i="3"/>
  <c r="C24" i="3"/>
  <c r="H24" i="3"/>
  <c r="M24" i="3"/>
  <c r="U24" i="3"/>
  <c r="C25" i="3"/>
  <c r="H25" i="3"/>
  <c r="M25" i="3"/>
  <c r="U25" i="3"/>
  <c r="C26" i="3"/>
  <c r="H26" i="3"/>
  <c r="M26" i="3"/>
  <c r="U26" i="3"/>
  <c r="C27" i="3"/>
  <c r="H27" i="3"/>
  <c r="M27" i="3"/>
  <c r="U27" i="3"/>
  <c r="C28" i="3"/>
  <c r="H28" i="3"/>
  <c r="M28" i="3"/>
  <c r="U28" i="3"/>
  <c r="C29" i="3"/>
  <c r="H29" i="3"/>
  <c r="M29" i="3"/>
  <c r="U29" i="3"/>
  <c r="C30" i="3"/>
  <c r="H30" i="3"/>
  <c r="M30" i="3"/>
  <c r="U30" i="3"/>
  <c r="C31" i="3"/>
  <c r="H31" i="3"/>
  <c r="M31" i="3"/>
  <c r="U31" i="3"/>
  <c r="C32" i="3"/>
  <c r="H32" i="3"/>
  <c r="M32" i="3"/>
  <c r="U32" i="3"/>
  <c r="C33" i="3"/>
  <c r="H33" i="3"/>
  <c r="M33" i="3"/>
  <c r="U33" i="3"/>
  <c r="C34" i="3"/>
  <c r="H34" i="3"/>
  <c r="M34" i="3"/>
  <c r="U34" i="3"/>
  <c r="C35" i="3"/>
  <c r="H35" i="3"/>
  <c r="M35" i="3"/>
  <c r="U35" i="3"/>
  <c r="C36" i="3"/>
  <c r="H36" i="3"/>
  <c r="M36" i="3"/>
  <c r="U36" i="3"/>
  <c r="K7" i="3" l="1"/>
  <c r="L7" i="3"/>
  <c r="P36" i="3"/>
  <c r="Q36" i="3"/>
  <c r="Q34" i="3"/>
  <c r="P34" i="3"/>
  <c r="P32" i="3"/>
  <c r="Q32" i="3"/>
  <c r="Q30" i="3"/>
  <c r="P30" i="3"/>
  <c r="P28" i="3"/>
  <c r="Q28" i="3"/>
  <c r="K27" i="3"/>
  <c r="L27" i="3"/>
  <c r="K25" i="3"/>
  <c r="L25" i="3"/>
  <c r="F24" i="3"/>
  <c r="G24" i="3"/>
  <c r="Q22" i="3"/>
  <c r="P22" i="3"/>
  <c r="L21" i="3"/>
  <c r="K19" i="3"/>
  <c r="L19" i="3"/>
  <c r="F18" i="3"/>
  <c r="G18" i="3"/>
  <c r="P16" i="3"/>
  <c r="Q16" i="3"/>
  <c r="Q14" i="3"/>
  <c r="P14" i="3"/>
  <c r="K13" i="3"/>
  <c r="L13" i="3"/>
  <c r="F12" i="3"/>
  <c r="G12" i="3"/>
  <c r="Q10" i="3"/>
  <c r="P10" i="3"/>
  <c r="K9" i="3"/>
  <c r="L9" i="3"/>
  <c r="F8" i="3"/>
  <c r="G8" i="3"/>
  <c r="Q7" i="3"/>
  <c r="P7" i="3"/>
  <c r="K35" i="3"/>
  <c r="L35" i="3"/>
  <c r="K33" i="3"/>
  <c r="L33" i="3"/>
  <c r="K31" i="3"/>
  <c r="L31" i="3"/>
  <c r="K29" i="3"/>
  <c r="L29" i="3"/>
  <c r="F28" i="3"/>
  <c r="G28" i="3"/>
  <c r="Q26" i="3"/>
  <c r="P26" i="3"/>
  <c r="P24" i="3"/>
  <c r="Q24" i="3"/>
  <c r="K23" i="3"/>
  <c r="L23" i="3"/>
  <c r="F22" i="3"/>
  <c r="G22" i="3"/>
  <c r="P20" i="3"/>
  <c r="Q20" i="3"/>
  <c r="F20" i="3"/>
  <c r="G20" i="3"/>
  <c r="Q18" i="3"/>
  <c r="P18" i="3"/>
  <c r="K17" i="3"/>
  <c r="L17" i="3"/>
  <c r="F16" i="3"/>
  <c r="G16" i="3"/>
  <c r="F14" i="3"/>
  <c r="G14" i="3"/>
  <c r="P12" i="3"/>
  <c r="Q12" i="3"/>
  <c r="K11" i="3"/>
  <c r="L11" i="3"/>
  <c r="F10" i="3"/>
  <c r="G10" i="3"/>
  <c r="P8" i="3"/>
  <c r="Q8" i="3"/>
  <c r="L36" i="3"/>
  <c r="K36" i="3"/>
  <c r="P35" i="3"/>
  <c r="Q35" i="3"/>
  <c r="F35" i="3"/>
  <c r="G35" i="3"/>
  <c r="K34" i="3"/>
  <c r="L34" i="3"/>
  <c r="P33" i="3"/>
  <c r="Q33" i="3"/>
  <c r="G33" i="3"/>
  <c r="F33" i="3"/>
  <c r="L32" i="3"/>
  <c r="K32" i="3"/>
  <c r="P31" i="3"/>
  <c r="Q31" i="3"/>
  <c r="F31" i="3"/>
  <c r="G31" i="3"/>
  <c r="K30" i="3"/>
  <c r="L30" i="3"/>
  <c r="P29" i="3"/>
  <c r="Q29" i="3"/>
  <c r="G29" i="3"/>
  <c r="F29" i="3"/>
  <c r="L28" i="3"/>
  <c r="K28" i="3"/>
  <c r="P27" i="3"/>
  <c r="Q27" i="3"/>
  <c r="F27" i="3"/>
  <c r="G27" i="3"/>
  <c r="K26" i="3"/>
  <c r="L26" i="3"/>
  <c r="P25" i="3"/>
  <c r="Q25" i="3"/>
  <c r="G25" i="3"/>
  <c r="F25" i="3"/>
  <c r="L24" i="3"/>
  <c r="K24" i="3"/>
  <c r="P23" i="3"/>
  <c r="Q23" i="3"/>
  <c r="F23" i="3"/>
  <c r="G23" i="3"/>
  <c r="K22" i="3"/>
  <c r="L22" i="3"/>
  <c r="P21" i="3"/>
  <c r="Q21" i="3"/>
  <c r="G21" i="3"/>
  <c r="F21" i="3"/>
  <c r="L20" i="3"/>
  <c r="K20" i="3"/>
  <c r="P19" i="3"/>
  <c r="Q19" i="3"/>
  <c r="F19" i="3"/>
  <c r="G19" i="3"/>
  <c r="K18" i="3"/>
  <c r="L18" i="3"/>
  <c r="P17" i="3"/>
  <c r="Q17" i="3"/>
  <c r="G17" i="3"/>
  <c r="F17" i="3"/>
  <c r="L16" i="3"/>
  <c r="K16" i="3"/>
  <c r="P15" i="3"/>
  <c r="Q15" i="3"/>
  <c r="F15" i="3"/>
  <c r="G15" i="3"/>
  <c r="K14" i="3"/>
  <c r="L14" i="3"/>
  <c r="P13" i="3"/>
  <c r="Q13" i="3"/>
  <c r="G13" i="3"/>
  <c r="F13" i="3"/>
  <c r="L12" i="3"/>
  <c r="K12" i="3"/>
  <c r="P11" i="3"/>
  <c r="Q11" i="3"/>
  <c r="F11" i="3"/>
  <c r="G11" i="3"/>
  <c r="K10" i="3"/>
  <c r="L10" i="3"/>
  <c r="P9" i="3"/>
  <c r="Q9" i="3"/>
  <c r="G9" i="3"/>
  <c r="F9" i="3"/>
  <c r="L8" i="3"/>
  <c r="K8" i="3"/>
  <c r="F36" i="3"/>
  <c r="G36" i="3"/>
  <c r="F34" i="3"/>
  <c r="G34" i="3"/>
  <c r="F32" i="3"/>
  <c r="G32" i="3"/>
  <c r="F30" i="3"/>
  <c r="G30" i="3"/>
  <c r="F26" i="3"/>
  <c r="G26" i="3"/>
  <c r="K15" i="3"/>
  <c r="L15" i="3"/>
  <c r="Y24" i="11"/>
  <c r="F23" i="8" s="1"/>
  <c r="X28" i="11"/>
  <c r="E27" i="8" s="1"/>
  <c r="X20" i="11"/>
  <c r="E19" i="8" s="1"/>
  <c r="Y13" i="11"/>
  <c r="F12" i="8" s="1"/>
  <c r="X18" i="11"/>
  <c r="E17" i="8" s="1"/>
  <c r="X21" i="11"/>
  <c r="E20" i="8" s="1"/>
  <c r="X12" i="11"/>
  <c r="E11" i="8" s="1"/>
  <c r="X10" i="11"/>
  <c r="E9" i="8" s="1"/>
  <c r="Y16" i="11"/>
  <c r="F15" i="8" s="1"/>
  <c r="X9" i="11"/>
  <c r="E8" i="8" s="1"/>
  <c r="X36" i="11"/>
  <c r="E35" i="8" s="1"/>
  <c r="Y36" i="11"/>
  <c r="F35" i="8" s="1"/>
  <c r="X13" i="11"/>
  <c r="E12" i="8" s="1"/>
  <c r="X16" i="11"/>
  <c r="E15" i="8" s="1"/>
  <c r="X26" i="11"/>
  <c r="E25" i="8" s="1"/>
  <c r="X32" i="11"/>
  <c r="E31" i="8" s="1"/>
  <c r="X14" i="11"/>
  <c r="E13" i="8" s="1"/>
  <c r="Y21" i="11"/>
  <c r="F20" i="8" s="1"/>
  <c r="Y28" i="11"/>
  <c r="F27" i="8" s="1"/>
  <c r="X33" i="11"/>
  <c r="E32" i="8" s="1"/>
  <c r="X37" i="11"/>
  <c r="E36" i="8" s="1"/>
  <c r="X30" i="11"/>
  <c r="E29" i="8" s="1"/>
  <c r="Y25" i="11"/>
  <c r="F24" i="8" s="1"/>
  <c r="Y32" i="11"/>
  <c r="F31" i="8" s="1"/>
  <c r="X22" i="11"/>
  <c r="E21" i="8" s="1"/>
  <c r="Y12" i="11"/>
  <c r="F11" i="8" s="1"/>
  <c r="Y37" i="11"/>
  <c r="F36" i="8" s="1"/>
  <c r="X24" i="11"/>
  <c r="E23" i="8" s="1"/>
  <c r="Y29" i="11"/>
  <c r="F28" i="8" s="1"/>
  <c r="Y33" i="11"/>
  <c r="F32" i="8" s="1"/>
  <c r="Y17" i="11"/>
  <c r="F16" i="8" s="1"/>
  <c r="Y20" i="11"/>
  <c r="F19" i="8" s="1"/>
  <c r="X34" i="11"/>
  <c r="E33" i="8" s="1"/>
  <c r="X25" i="11"/>
  <c r="E24" i="8" s="1"/>
  <c r="X29" i="11"/>
  <c r="E28" i="8" s="1"/>
  <c r="X23" i="11"/>
  <c r="E22" i="8" s="1"/>
  <c r="X39" i="11"/>
  <c r="E38" i="8" s="1"/>
  <c r="O38" i="8" s="1"/>
  <c r="Y23" i="11"/>
  <c r="F22" i="8" s="1"/>
  <c r="Y39" i="11"/>
  <c r="F38" i="8" s="1"/>
  <c r="P38" i="8" s="1"/>
  <c r="Y18" i="11"/>
  <c r="F17" i="8" s="1"/>
  <c r="Y34" i="11"/>
  <c r="F33" i="8" s="1"/>
  <c r="X11" i="11"/>
  <c r="E10" i="8" s="1"/>
  <c r="X27" i="11"/>
  <c r="E26" i="8" s="1"/>
  <c r="Y11" i="11"/>
  <c r="F10" i="8" s="1"/>
  <c r="Y27" i="11"/>
  <c r="F26" i="8" s="1"/>
  <c r="Y9" i="11"/>
  <c r="Y22" i="11"/>
  <c r="F21" i="8" s="1"/>
  <c r="Y38" i="11"/>
  <c r="F37" i="8" s="1"/>
  <c r="X15" i="11"/>
  <c r="E14" i="8" s="1"/>
  <c r="X31" i="11"/>
  <c r="E30" i="8" s="1"/>
  <c r="Y15" i="11"/>
  <c r="F14" i="8" s="1"/>
  <c r="Y31" i="11"/>
  <c r="F30" i="8" s="1"/>
  <c r="Y10" i="11"/>
  <c r="F9" i="8" s="1"/>
  <c r="Y26" i="11"/>
  <c r="F25" i="8" s="1"/>
  <c r="X19" i="11"/>
  <c r="E18" i="8" s="1"/>
  <c r="X35" i="11"/>
  <c r="E34" i="8" s="1"/>
  <c r="Y19" i="11"/>
  <c r="F18" i="8" s="1"/>
  <c r="Y35" i="11"/>
  <c r="F34" i="8" s="1"/>
  <c r="X17" i="11"/>
  <c r="E16" i="8" s="1"/>
  <c r="Y14" i="11"/>
  <c r="F13" i="8" s="1"/>
  <c r="Y30" i="11"/>
  <c r="F29" i="8" s="1"/>
  <c r="G9" i="6"/>
  <c r="R38" i="8" l="1"/>
  <c r="W21" i="3"/>
  <c r="Y21" i="3" s="1"/>
  <c r="W22" i="3"/>
  <c r="Y22" i="3" s="1"/>
  <c r="W23" i="3"/>
  <c r="Y23" i="3" s="1"/>
  <c r="W16" i="3"/>
  <c r="Y16" i="3" s="1"/>
  <c r="W13" i="3"/>
  <c r="Y13" i="3" s="1"/>
  <c r="W17" i="3"/>
  <c r="Y17" i="3" s="1"/>
  <c r="W30" i="3"/>
  <c r="Y30" i="3" s="1"/>
  <c r="X25" i="3"/>
  <c r="Z25" i="3" s="1"/>
  <c r="W11" i="3"/>
  <c r="Y11" i="3" s="1"/>
  <c r="W35" i="3"/>
  <c r="Y35" i="3" s="1"/>
  <c r="W8" i="3"/>
  <c r="Y8" i="3" s="1"/>
  <c r="X9" i="3"/>
  <c r="Z9" i="3" s="1"/>
  <c r="W20" i="3"/>
  <c r="Y20" i="3" s="1"/>
  <c r="X21" i="3"/>
  <c r="Z21" i="3" s="1"/>
  <c r="W24" i="3"/>
  <c r="Y24" i="3" s="1"/>
  <c r="W32" i="3"/>
  <c r="Y32" i="3" s="1"/>
  <c r="X29" i="3"/>
  <c r="Z29" i="3" s="1"/>
  <c r="W15" i="3"/>
  <c r="Y15" i="3" s="1"/>
  <c r="W33" i="3"/>
  <c r="Y33" i="3" s="1"/>
  <c r="X33" i="3"/>
  <c r="Z33" i="3" s="1"/>
  <c r="W29" i="3"/>
  <c r="Y29" i="3" s="1"/>
  <c r="W12" i="3"/>
  <c r="Y12" i="3" s="1"/>
  <c r="W28" i="3"/>
  <c r="Y28" i="3" s="1"/>
  <c r="W19" i="3"/>
  <c r="Y19" i="3" s="1"/>
  <c r="W26" i="3"/>
  <c r="Y26" i="3" s="1"/>
  <c r="W25" i="3"/>
  <c r="Y25" i="3" s="1"/>
  <c r="X13" i="3"/>
  <c r="Z13" i="3" s="1"/>
  <c r="X20" i="3"/>
  <c r="Z20" i="3" s="1"/>
  <c r="X11" i="3"/>
  <c r="Z11" i="3" s="1"/>
  <c r="W9" i="3"/>
  <c r="Y9" i="3" s="1"/>
  <c r="W31" i="3"/>
  <c r="Y31" i="3" s="1"/>
  <c r="W10" i="3"/>
  <c r="Y10" i="3" s="1"/>
  <c r="X36" i="3"/>
  <c r="Z36" i="3" s="1"/>
  <c r="X19" i="3"/>
  <c r="Z19" i="3" s="1"/>
  <c r="X27" i="3"/>
  <c r="Z27" i="3" s="1"/>
  <c r="X35" i="3"/>
  <c r="Z35" i="3" s="1"/>
  <c r="W27" i="3"/>
  <c r="Y27" i="3" s="1"/>
  <c r="W34" i="3"/>
  <c r="Y34" i="3" s="1"/>
  <c r="X16" i="3"/>
  <c r="Z16" i="3" s="1"/>
  <c r="X32" i="3"/>
  <c r="Z32" i="3" s="1"/>
  <c r="F8" i="8"/>
  <c r="AB9" i="11"/>
  <c r="AA9" i="11"/>
  <c r="W14" i="3"/>
  <c r="Y14" i="3" s="1"/>
  <c r="X31" i="3"/>
  <c r="Z31" i="3" s="1"/>
  <c r="X28" i="3"/>
  <c r="Z28" i="3" s="1"/>
  <c r="W7" i="3"/>
  <c r="Y7" i="3" s="1"/>
  <c r="X8" i="3"/>
  <c r="Z8" i="3" s="1"/>
  <c r="W18" i="3"/>
  <c r="Y18" i="3" s="1"/>
  <c r="W36" i="3"/>
  <c r="Y36" i="3" s="1"/>
  <c r="X24" i="3"/>
  <c r="Z24" i="3" s="1"/>
  <c r="X12" i="3"/>
  <c r="Z12" i="3" s="1"/>
  <c r="X7" i="3"/>
  <c r="Z7" i="3" s="1"/>
  <c r="X15" i="3"/>
  <c r="Z15" i="3" s="1"/>
  <c r="X23" i="3"/>
  <c r="Z23" i="3" s="1"/>
  <c r="X17" i="3"/>
  <c r="Z17" i="3" s="1"/>
  <c r="X18" i="3"/>
  <c r="Z18" i="3" s="1"/>
  <c r="X14" i="3"/>
  <c r="Z14" i="3" s="1"/>
  <c r="X26" i="3"/>
  <c r="Z26" i="3" s="1"/>
  <c r="X10" i="3"/>
  <c r="Z10" i="3" s="1"/>
  <c r="X22" i="3"/>
  <c r="Z22" i="3" s="1"/>
  <c r="X34" i="3"/>
  <c r="Z34" i="3" s="1"/>
  <c r="X30" i="3"/>
  <c r="Z30" i="3" s="1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H10" i="6" l="1"/>
  <c r="H14" i="6"/>
  <c r="H18" i="6"/>
  <c r="H22" i="6"/>
  <c r="H26" i="6"/>
  <c r="H9" i="6"/>
  <c r="G14" i="6"/>
  <c r="H16" i="6"/>
  <c r="H24" i="6"/>
  <c r="H28" i="6"/>
  <c r="H32" i="6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F8" i="7"/>
  <c r="G8" i="7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G9" i="7"/>
  <c r="G10" i="7"/>
  <c r="H8" i="6"/>
  <c r="J8" i="6"/>
  <c r="B9" i="6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G11" i="6"/>
  <c r="G15" i="6"/>
  <c r="G18" i="6"/>
  <c r="G19" i="6"/>
  <c r="G22" i="6"/>
  <c r="G23" i="6"/>
  <c r="G25" i="6"/>
  <c r="G26" i="6"/>
  <c r="G27" i="6"/>
  <c r="G30" i="6"/>
  <c r="G31" i="6"/>
  <c r="G34" i="6"/>
  <c r="F8" i="5"/>
  <c r="G8" i="5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C43" i="5"/>
  <c r="D43" i="5"/>
  <c r="E43" i="5"/>
  <c r="B44" i="5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D44" i="5"/>
  <c r="E44" i="5"/>
  <c r="D45" i="5"/>
  <c r="E45" i="5"/>
  <c r="F45" i="5" s="1"/>
  <c r="D46" i="5"/>
  <c r="E46" i="5"/>
  <c r="F46" i="5" s="1"/>
  <c r="D47" i="5"/>
  <c r="E47" i="5"/>
  <c r="D48" i="5"/>
  <c r="E48" i="5"/>
  <c r="G48" i="5" s="1"/>
  <c r="D49" i="5"/>
  <c r="E49" i="5"/>
  <c r="F49" i="5" s="1"/>
  <c r="D50" i="5"/>
  <c r="E50" i="5"/>
  <c r="F50" i="5" s="1"/>
  <c r="D51" i="5"/>
  <c r="E51" i="5"/>
  <c r="D52" i="5"/>
  <c r="E52" i="5"/>
  <c r="D53" i="5"/>
  <c r="E53" i="5"/>
  <c r="F53" i="5" s="1"/>
  <c r="D54" i="5"/>
  <c r="E54" i="5"/>
  <c r="F54" i="5" s="1"/>
  <c r="D55" i="5"/>
  <c r="E55" i="5"/>
  <c r="D56" i="5"/>
  <c r="E56" i="5"/>
  <c r="G56" i="5" s="1"/>
  <c r="F57" i="5"/>
  <c r="D57" i="5"/>
  <c r="E57" i="5"/>
  <c r="D58" i="5"/>
  <c r="E58" i="5"/>
  <c r="F58" i="5" s="1"/>
  <c r="D59" i="5"/>
  <c r="E59" i="5"/>
  <c r="D60" i="5"/>
  <c r="E60" i="5"/>
  <c r="D61" i="5"/>
  <c r="E61" i="5"/>
  <c r="F61" i="5" s="1"/>
  <c r="D62" i="5"/>
  <c r="E62" i="5"/>
  <c r="F62" i="5" s="1"/>
  <c r="D63" i="5"/>
  <c r="E63" i="5"/>
  <c r="D64" i="5"/>
  <c r="E64" i="5"/>
  <c r="D65" i="5"/>
  <c r="E65" i="5"/>
  <c r="F65" i="5" s="1"/>
  <c r="D66" i="5"/>
  <c r="E66" i="5"/>
  <c r="F66" i="5" s="1"/>
  <c r="D67" i="5"/>
  <c r="E67" i="5"/>
  <c r="F67" i="5" s="1"/>
  <c r="D68" i="5"/>
  <c r="E68" i="5"/>
  <c r="D69" i="5"/>
  <c r="E69" i="5"/>
  <c r="D70" i="5"/>
  <c r="E70" i="5"/>
  <c r="F70" i="5" s="1"/>
  <c r="D71" i="5"/>
  <c r="E71" i="5"/>
  <c r="F71" i="5" s="1"/>
  <c r="D72" i="5"/>
  <c r="E72" i="5"/>
  <c r="D73" i="5"/>
  <c r="E73" i="5"/>
  <c r="C78" i="5"/>
  <c r="D78" i="5"/>
  <c r="E78" i="5"/>
  <c r="B79" i="5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C79" i="5"/>
  <c r="D79" i="5"/>
  <c r="E79" i="5"/>
  <c r="C80" i="5"/>
  <c r="D80" i="5"/>
  <c r="E80" i="5"/>
  <c r="C81" i="5"/>
  <c r="D81" i="5"/>
  <c r="E81" i="5"/>
  <c r="C82" i="5"/>
  <c r="F82" i="5" s="1"/>
  <c r="D82" i="5"/>
  <c r="E82" i="5"/>
  <c r="C83" i="5"/>
  <c r="D83" i="5"/>
  <c r="E83" i="5"/>
  <c r="C84" i="5"/>
  <c r="D84" i="5"/>
  <c r="E84" i="5"/>
  <c r="C85" i="5"/>
  <c r="D85" i="5"/>
  <c r="E85" i="5"/>
  <c r="C86" i="5"/>
  <c r="D86" i="5"/>
  <c r="E86" i="5"/>
  <c r="C87" i="5"/>
  <c r="D87" i="5"/>
  <c r="E87" i="5"/>
  <c r="C88" i="5"/>
  <c r="D88" i="5"/>
  <c r="E88" i="5"/>
  <c r="C89" i="5"/>
  <c r="D89" i="5"/>
  <c r="E89" i="5"/>
  <c r="C90" i="5"/>
  <c r="D90" i="5"/>
  <c r="E90" i="5"/>
  <c r="C91" i="5"/>
  <c r="D91" i="5"/>
  <c r="E91" i="5"/>
  <c r="C92" i="5"/>
  <c r="D92" i="5"/>
  <c r="E92" i="5"/>
  <c r="C93" i="5"/>
  <c r="D93" i="5"/>
  <c r="E93" i="5"/>
  <c r="C94" i="5"/>
  <c r="D94" i="5"/>
  <c r="E94" i="5"/>
  <c r="C95" i="5"/>
  <c r="F95" i="5" s="1"/>
  <c r="D95" i="5"/>
  <c r="E95" i="5"/>
  <c r="C96" i="5"/>
  <c r="D96" i="5"/>
  <c r="E96" i="5"/>
  <c r="C97" i="5"/>
  <c r="D97" i="5"/>
  <c r="E97" i="5"/>
  <c r="C98" i="5"/>
  <c r="F98" i="5" s="1"/>
  <c r="D98" i="5"/>
  <c r="E98" i="5"/>
  <c r="C99" i="5"/>
  <c r="F99" i="5" s="1"/>
  <c r="D99" i="5"/>
  <c r="E99" i="5"/>
  <c r="C100" i="5"/>
  <c r="D100" i="5"/>
  <c r="E100" i="5"/>
  <c r="C101" i="5"/>
  <c r="D101" i="5"/>
  <c r="E101" i="5"/>
  <c r="C102" i="5"/>
  <c r="D102" i="5"/>
  <c r="E102" i="5"/>
  <c r="C103" i="5"/>
  <c r="F103" i="5" s="1"/>
  <c r="D103" i="5"/>
  <c r="E103" i="5"/>
  <c r="C104" i="5"/>
  <c r="D104" i="5"/>
  <c r="E104" i="5"/>
  <c r="C105" i="5"/>
  <c r="D105" i="5"/>
  <c r="E105" i="5"/>
  <c r="C106" i="5"/>
  <c r="D106" i="5"/>
  <c r="E106" i="5"/>
  <c r="C107" i="5"/>
  <c r="D107" i="5"/>
  <c r="E107" i="5"/>
  <c r="C108" i="5"/>
  <c r="D108" i="5"/>
  <c r="E108" i="5"/>
  <c r="C113" i="5"/>
  <c r="D113" i="5"/>
  <c r="G113" i="5" s="1"/>
  <c r="E113" i="5"/>
  <c r="B114" i="5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C114" i="5"/>
  <c r="D114" i="5"/>
  <c r="E114" i="5"/>
  <c r="C115" i="5"/>
  <c r="D115" i="5"/>
  <c r="E115" i="5"/>
  <c r="C116" i="5"/>
  <c r="D116" i="5"/>
  <c r="E116" i="5"/>
  <c r="C117" i="5"/>
  <c r="D117" i="5"/>
  <c r="E117" i="5"/>
  <c r="C118" i="5"/>
  <c r="D118" i="5"/>
  <c r="E118" i="5"/>
  <c r="C119" i="5"/>
  <c r="D119" i="5"/>
  <c r="E119" i="5"/>
  <c r="G119" i="5" s="1"/>
  <c r="C120" i="5"/>
  <c r="D120" i="5"/>
  <c r="E120" i="5"/>
  <c r="C121" i="5"/>
  <c r="D121" i="5"/>
  <c r="E121" i="5"/>
  <c r="C122" i="5"/>
  <c r="D122" i="5"/>
  <c r="E122" i="5"/>
  <c r="C123" i="5"/>
  <c r="D123" i="5"/>
  <c r="E123" i="5"/>
  <c r="C124" i="5"/>
  <c r="D124" i="5"/>
  <c r="E124" i="5"/>
  <c r="C125" i="5"/>
  <c r="D125" i="5"/>
  <c r="E125" i="5"/>
  <c r="C126" i="5"/>
  <c r="D126" i="5"/>
  <c r="E126" i="5"/>
  <c r="C127" i="5"/>
  <c r="D127" i="5"/>
  <c r="E127" i="5"/>
  <c r="C128" i="5"/>
  <c r="D128" i="5"/>
  <c r="E128" i="5"/>
  <c r="C129" i="5"/>
  <c r="D129" i="5"/>
  <c r="G129" i="5" s="1"/>
  <c r="E129" i="5"/>
  <c r="C130" i="5"/>
  <c r="D130" i="5"/>
  <c r="E130" i="5"/>
  <c r="C131" i="5"/>
  <c r="D131" i="5"/>
  <c r="G131" i="5" s="1"/>
  <c r="E131" i="5"/>
  <c r="C132" i="5"/>
  <c r="D132" i="5"/>
  <c r="E132" i="5"/>
  <c r="C133" i="5"/>
  <c r="D133" i="5"/>
  <c r="E133" i="5"/>
  <c r="C134" i="5"/>
  <c r="D134" i="5"/>
  <c r="E134" i="5"/>
  <c r="C135" i="5"/>
  <c r="D135" i="5"/>
  <c r="E135" i="5"/>
  <c r="C136" i="5"/>
  <c r="D136" i="5"/>
  <c r="E136" i="5"/>
  <c r="C137" i="5"/>
  <c r="D137" i="5"/>
  <c r="E137" i="5"/>
  <c r="C138" i="5"/>
  <c r="D138" i="5"/>
  <c r="E138" i="5"/>
  <c r="C139" i="5"/>
  <c r="D139" i="5"/>
  <c r="E139" i="5"/>
  <c r="C140" i="5"/>
  <c r="D140" i="5"/>
  <c r="E140" i="5"/>
  <c r="C141" i="5"/>
  <c r="D141" i="5"/>
  <c r="E141" i="5"/>
  <c r="C142" i="5"/>
  <c r="D142" i="5"/>
  <c r="E142" i="5"/>
  <c r="C143" i="5"/>
  <c r="D143" i="5"/>
  <c r="E143" i="5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G108" i="5" l="1"/>
  <c r="G80" i="5"/>
  <c r="G64" i="5"/>
  <c r="F121" i="5"/>
  <c r="F131" i="5"/>
  <c r="G128" i="5"/>
  <c r="F122" i="5"/>
  <c r="G120" i="5"/>
  <c r="F113" i="5"/>
  <c r="F108" i="5"/>
  <c r="F104" i="5"/>
  <c r="F90" i="5"/>
  <c r="F83" i="5"/>
  <c r="G43" i="5"/>
  <c r="G104" i="5"/>
  <c r="G121" i="5"/>
  <c r="G117" i="5"/>
  <c r="F91" i="5"/>
  <c r="F43" i="5"/>
  <c r="I8" i="5" s="1"/>
  <c r="G100" i="5"/>
  <c r="G96" i="5"/>
  <c r="G88" i="5"/>
  <c r="G83" i="5"/>
  <c r="G73" i="5"/>
  <c r="J38" i="5" s="1"/>
  <c r="G123" i="5"/>
  <c r="G106" i="5"/>
  <c r="G84" i="5"/>
  <c r="J14" i="5" s="1"/>
  <c r="H14" i="8" s="1"/>
  <c r="G79" i="5"/>
  <c r="G78" i="5"/>
  <c r="F132" i="5"/>
  <c r="F123" i="5"/>
  <c r="G107" i="5"/>
  <c r="F106" i="5"/>
  <c r="G102" i="5"/>
  <c r="F87" i="5"/>
  <c r="F84" i="5"/>
  <c r="F79" i="5"/>
  <c r="F78" i="5"/>
  <c r="G141" i="5"/>
  <c r="J36" i="5" s="1"/>
  <c r="H36" i="8" s="1"/>
  <c r="F140" i="5"/>
  <c r="G137" i="5"/>
  <c r="G143" i="5"/>
  <c r="F107" i="5"/>
  <c r="G103" i="5"/>
  <c r="F102" i="5"/>
  <c r="G92" i="5"/>
  <c r="G82" i="5"/>
  <c r="J12" i="5" s="1"/>
  <c r="H12" i="8" s="1"/>
  <c r="F80" i="5"/>
  <c r="I10" i="5" s="1"/>
  <c r="G10" i="8" s="1"/>
  <c r="G66" i="5"/>
  <c r="G133" i="5"/>
  <c r="G115" i="5"/>
  <c r="G114" i="5"/>
  <c r="G91" i="5"/>
  <c r="G90" i="5"/>
  <c r="G87" i="5"/>
  <c r="G86" i="5"/>
  <c r="G69" i="5"/>
  <c r="G67" i="5"/>
  <c r="G139" i="5"/>
  <c r="F138" i="5"/>
  <c r="F137" i="5"/>
  <c r="I32" i="5" s="1"/>
  <c r="G32" i="8" s="1"/>
  <c r="G135" i="5"/>
  <c r="G125" i="5"/>
  <c r="F124" i="5"/>
  <c r="G99" i="5"/>
  <c r="G98" i="5"/>
  <c r="G95" i="5"/>
  <c r="G94" i="5"/>
  <c r="F92" i="5"/>
  <c r="F88" i="5"/>
  <c r="F86" i="5"/>
  <c r="G70" i="5"/>
  <c r="F139" i="5"/>
  <c r="G136" i="5"/>
  <c r="F130" i="5"/>
  <c r="F129" i="5"/>
  <c r="G127" i="5"/>
  <c r="F116" i="5"/>
  <c r="F100" i="5"/>
  <c r="F96" i="5"/>
  <c r="I26" i="5" s="1"/>
  <c r="G26" i="8" s="1"/>
  <c r="F94" i="5"/>
  <c r="G71" i="5"/>
  <c r="G60" i="5"/>
  <c r="G52" i="5"/>
  <c r="G44" i="5"/>
  <c r="F143" i="5"/>
  <c r="G140" i="5"/>
  <c r="F135" i="5"/>
  <c r="G132" i="5"/>
  <c r="F127" i="5"/>
  <c r="G124" i="5"/>
  <c r="F119" i="5"/>
  <c r="G116" i="5"/>
  <c r="F64" i="5"/>
  <c r="G62" i="5"/>
  <c r="F60" i="5"/>
  <c r="G58" i="5"/>
  <c r="F56" i="5"/>
  <c r="G54" i="5"/>
  <c r="F52" i="5"/>
  <c r="G50" i="5"/>
  <c r="F48" i="5"/>
  <c r="G46" i="5"/>
  <c r="F44" i="5"/>
  <c r="G142" i="5"/>
  <c r="G134" i="5"/>
  <c r="G126" i="5"/>
  <c r="G118" i="5"/>
  <c r="G63" i="5"/>
  <c r="J28" i="5" s="1"/>
  <c r="H28" i="8" s="1"/>
  <c r="G59" i="5"/>
  <c r="G55" i="5"/>
  <c r="J20" i="5" s="1"/>
  <c r="H20" i="8" s="1"/>
  <c r="G51" i="5"/>
  <c r="G47" i="5"/>
  <c r="F141" i="5"/>
  <c r="G138" i="5"/>
  <c r="F133" i="5"/>
  <c r="G130" i="5"/>
  <c r="F125" i="5"/>
  <c r="G122" i="5"/>
  <c r="F117" i="5"/>
  <c r="F115" i="5"/>
  <c r="F105" i="5"/>
  <c r="F101" i="5"/>
  <c r="F97" i="5"/>
  <c r="I27" i="5" s="1"/>
  <c r="G27" i="8" s="1"/>
  <c r="F93" i="5"/>
  <c r="F89" i="5"/>
  <c r="F85" i="5"/>
  <c r="F81" i="5"/>
  <c r="I11" i="5" s="1"/>
  <c r="G11" i="8" s="1"/>
  <c r="G65" i="5"/>
  <c r="F63" i="5"/>
  <c r="G61" i="5"/>
  <c r="J26" i="5" s="1"/>
  <c r="H26" i="8" s="1"/>
  <c r="F59" i="5"/>
  <c r="G57" i="5"/>
  <c r="F55" i="5"/>
  <c r="G53" i="5"/>
  <c r="J18" i="5" s="1"/>
  <c r="H18" i="8" s="1"/>
  <c r="F51" i="5"/>
  <c r="G49" i="5"/>
  <c r="F47" i="5"/>
  <c r="G45" i="5"/>
  <c r="J10" i="5" s="1"/>
  <c r="H10" i="8" s="1"/>
  <c r="D14" i="8"/>
  <c r="D29" i="8"/>
  <c r="D26" i="8"/>
  <c r="D18" i="8"/>
  <c r="C14" i="8"/>
  <c r="C31" i="8"/>
  <c r="C23" i="8"/>
  <c r="C19" i="8"/>
  <c r="C11" i="8"/>
  <c r="D30" i="8"/>
  <c r="D11" i="8"/>
  <c r="C16" i="8"/>
  <c r="C12" i="8"/>
  <c r="C15" i="8"/>
  <c r="D28" i="8"/>
  <c r="D33" i="8"/>
  <c r="C27" i="8"/>
  <c r="D24" i="8"/>
  <c r="C18" i="8"/>
  <c r="D21" i="8"/>
  <c r="D13" i="8"/>
  <c r="D10" i="8"/>
  <c r="C26" i="8"/>
  <c r="D9" i="8"/>
  <c r="D32" i="8"/>
  <c r="C25" i="8"/>
  <c r="C24" i="8"/>
  <c r="D23" i="8"/>
  <c r="D22" i="8"/>
  <c r="C33" i="8"/>
  <c r="C32" i="8"/>
  <c r="D31" i="8"/>
  <c r="D19" i="8"/>
  <c r="D37" i="8"/>
  <c r="C30" i="8"/>
  <c r="C22" i="8"/>
  <c r="C20" i="8"/>
  <c r="D34" i="8"/>
  <c r="C35" i="8"/>
  <c r="C34" i="8"/>
  <c r="D25" i="8"/>
  <c r="D36" i="8"/>
  <c r="D35" i="8"/>
  <c r="C37" i="8"/>
  <c r="C36" i="8"/>
  <c r="C29" i="8"/>
  <c r="C28" i="8"/>
  <c r="D27" i="8"/>
  <c r="D17" i="8"/>
  <c r="D15" i="8"/>
  <c r="C10" i="8"/>
  <c r="H8" i="7"/>
  <c r="K8" i="8" s="1"/>
  <c r="H12" i="6"/>
  <c r="L12" i="6" s="1"/>
  <c r="J12" i="8" s="1"/>
  <c r="H20" i="6"/>
  <c r="L20" i="6" s="1"/>
  <c r="J20" i="8" s="1"/>
  <c r="L24" i="6"/>
  <c r="J24" i="8" s="1"/>
  <c r="G37" i="6"/>
  <c r="G29" i="6"/>
  <c r="K29" i="6" s="1"/>
  <c r="I29" i="8" s="1"/>
  <c r="K25" i="6"/>
  <c r="I25" i="8" s="1"/>
  <c r="G21" i="6"/>
  <c r="G17" i="6"/>
  <c r="K17" i="6" s="1"/>
  <c r="I17" i="8" s="1"/>
  <c r="G13" i="6"/>
  <c r="K13" i="6" s="1"/>
  <c r="I13" i="8" s="1"/>
  <c r="L32" i="6"/>
  <c r="J32" i="8" s="1"/>
  <c r="H36" i="6"/>
  <c r="G33" i="6"/>
  <c r="L28" i="6"/>
  <c r="J28" i="8" s="1"/>
  <c r="L16" i="6"/>
  <c r="J16" i="8" s="1"/>
  <c r="I8" i="6"/>
  <c r="H35" i="6"/>
  <c r="H31" i="6"/>
  <c r="H27" i="6"/>
  <c r="H23" i="6"/>
  <c r="H19" i="6"/>
  <c r="H15" i="6"/>
  <c r="H11" i="6"/>
  <c r="G35" i="6"/>
  <c r="K31" i="6"/>
  <c r="I31" i="8" s="1"/>
  <c r="K27" i="6"/>
  <c r="I27" i="8" s="1"/>
  <c r="K23" i="6"/>
  <c r="I23" i="8" s="1"/>
  <c r="K19" i="6"/>
  <c r="I19" i="8" s="1"/>
  <c r="K11" i="6"/>
  <c r="I11" i="8" s="1"/>
  <c r="H34" i="6"/>
  <c r="H30" i="6"/>
  <c r="L18" i="6"/>
  <c r="J18" i="8" s="1"/>
  <c r="L14" i="6"/>
  <c r="J14" i="8" s="1"/>
  <c r="L10" i="6"/>
  <c r="J10" i="8" s="1"/>
  <c r="G10" i="6"/>
  <c r="H37" i="6"/>
  <c r="H33" i="6"/>
  <c r="H25" i="6"/>
  <c r="H17" i="6"/>
  <c r="L22" i="6"/>
  <c r="J22" i="8" s="1"/>
  <c r="K34" i="6"/>
  <c r="I34" i="8" s="1"/>
  <c r="K22" i="6"/>
  <c r="I22" i="8" s="1"/>
  <c r="K18" i="6"/>
  <c r="I18" i="8" s="1"/>
  <c r="K14" i="6"/>
  <c r="I14" i="8" s="1"/>
  <c r="L8" i="6"/>
  <c r="J8" i="8" s="1"/>
  <c r="L26" i="6"/>
  <c r="J26" i="8" s="1"/>
  <c r="G36" i="6"/>
  <c r="K36" i="6" s="1"/>
  <c r="I36" i="8" s="1"/>
  <c r="G32" i="6"/>
  <c r="G28" i="6"/>
  <c r="G24" i="6"/>
  <c r="G20" i="6"/>
  <c r="G16" i="6"/>
  <c r="G12" i="6"/>
  <c r="L9" i="6"/>
  <c r="J9" i="8" s="1"/>
  <c r="K9" i="6"/>
  <c r="I9" i="8" s="1"/>
  <c r="H29" i="6"/>
  <c r="H21" i="6"/>
  <c r="H13" i="6"/>
  <c r="K30" i="6"/>
  <c r="I30" i="8" s="1"/>
  <c r="K26" i="6"/>
  <c r="I26" i="8" s="1"/>
  <c r="K15" i="6"/>
  <c r="I15" i="8" s="1"/>
  <c r="C8" i="8"/>
  <c r="K30" i="8"/>
  <c r="K28" i="8"/>
  <c r="K26" i="8"/>
  <c r="K24" i="8"/>
  <c r="K22" i="8"/>
  <c r="K20" i="8"/>
  <c r="K18" i="8"/>
  <c r="H16" i="7"/>
  <c r="K16" i="8" s="1"/>
  <c r="H14" i="7"/>
  <c r="K14" i="8" s="1"/>
  <c r="H12" i="7"/>
  <c r="K12" i="8" s="1"/>
  <c r="H10" i="7"/>
  <c r="K10" i="8" s="1"/>
  <c r="K37" i="8"/>
  <c r="K35" i="8"/>
  <c r="K33" i="8"/>
  <c r="K31" i="8"/>
  <c r="K36" i="8"/>
  <c r="K34" i="8"/>
  <c r="K32" i="8"/>
  <c r="C21" i="8"/>
  <c r="D12" i="8"/>
  <c r="C9" i="8"/>
  <c r="D16" i="8"/>
  <c r="C13" i="8"/>
  <c r="D20" i="8"/>
  <c r="C17" i="8"/>
  <c r="F136" i="5"/>
  <c r="F128" i="5"/>
  <c r="F120" i="5"/>
  <c r="I36" i="5"/>
  <c r="G36" i="8" s="1"/>
  <c r="F68" i="5"/>
  <c r="I33" i="5" s="1"/>
  <c r="G33" i="8" s="1"/>
  <c r="G68" i="5"/>
  <c r="F72" i="5"/>
  <c r="G72" i="5"/>
  <c r="J37" i="5" s="1"/>
  <c r="H37" i="8" s="1"/>
  <c r="J25" i="5"/>
  <c r="H25" i="8" s="1"/>
  <c r="F142" i="5"/>
  <c r="F134" i="5"/>
  <c r="F126" i="5"/>
  <c r="I21" i="5" s="1"/>
  <c r="G21" i="8" s="1"/>
  <c r="F118" i="5"/>
  <c r="I13" i="5" s="1"/>
  <c r="G13" i="8" s="1"/>
  <c r="J32" i="5"/>
  <c r="H32" i="8" s="1"/>
  <c r="F114" i="5"/>
  <c r="G101" i="5"/>
  <c r="J31" i="5" s="1"/>
  <c r="H31" i="8" s="1"/>
  <c r="G93" i="5"/>
  <c r="J23" i="5" s="1"/>
  <c r="H23" i="8" s="1"/>
  <c r="G85" i="5"/>
  <c r="J15" i="5" s="1"/>
  <c r="H15" i="8" s="1"/>
  <c r="F73" i="5"/>
  <c r="F69" i="5"/>
  <c r="J29" i="5"/>
  <c r="H29" i="8" s="1"/>
  <c r="J8" i="5"/>
  <c r="I20" i="5"/>
  <c r="G20" i="8" s="1"/>
  <c r="I18" i="5"/>
  <c r="G18" i="8" s="1"/>
  <c r="G105" i="5"/>
  <c r="G97" i="5"/>
  <c r="G89" i="5"/>
  <c r="G81" i="5"/>
  <c r="J30" i="5"/>
  <c r="H30" i="8" s="1"/>
  <c r="I23" i="5"/>
  <c r="G23" i="8" s="1"/>
  <c r="K27" i="8"/>
  <c r="K23" i="8"/>
  <c r="K19" i="8"/>
  <c r="H15" i="7"/>
  <c r="K15" i="8" s="1"/>
  <c r="H11" i="7"/>
  <c r="K11" i="8" s="1"/>
  <c r="K29" i="8"/>
  <c r="K25" i="8"/>
  <c r="K21" i="8"/>
  <c r="H17" i="7"/>
  <c r="K17" i="8" s="1"/>
  <c r="H13" i="7"/>
  <c r="K13" i="8" s="1"/>
  <c r="H9" i="7"/>
  <c r="K9" i="8" s="1"/>
  <c r="K10" i="6" l="1"/>
  <c r="I10" i="8" s="1"/>
  <c r="I31" i="5"/>
  <c r="G31" i="8" s="1"/>
  <c r="O31" i="8" s="1"/>
  <c r="J17" i="5"/>
  <c r="H17" i="8" s="1"/>
  <c r="J24" i="5"/>
  <c r="H24" i="8" s="1"/>
  <c r="I19" i="5"/>
  <c r="G19" i="8" s="1"/>
  <c r="I35" i="5"/>
  <c r="G35" i="8" s="1"/>
  <c r="I38" i="5"/>
  <c r="I29" i="5"/>
  <c r="G29" i="8" s="1"/>
  <c r="I16" i="5"/>
  <c r="G16" i="8" s="1"/>
  <c r="I12" i="5"/>
  <c r="G12" i="8" s="1"/>
  <c r="I28" i="5"/>
  <c r="G28" i="8" s="1"/>
  <c r="J13" i="5"/>
  <c r="H13" i="8" s="1"/>
  <c r="I17" i="5"/>
  <c r="G17" i="8" s="1"/>
  <c r="O17" i="8" s="1"/>
  <c r="I25" i="5"/>
  <c r="G25" i="8" s="1"/>
  <c r="O25" i="8" s="1"/>
  <c r="I30" i="5"/>
  <c r="G30" i="8" s="1"/>
  <c r="I22" i="5"/>
  <c r="G22" i="8" s="1"/>
  <c r="O22" i="8" s="1"/>
  <c r="J34" i="5"/>
  <c r="H34" i="8" s="1"/>
  <c r="J33" i="5"/>
  <c r="H33" i="8" s="1"/>
  <c r="J9" i="5"/>
  <c r="H9" i="8" s="1"/>
  <c r="P9" i="8" s="1"/>
  <c r="J35" i="5"/>
  <c r="H35" i="8" s="1"/>
  <c r="J11" i="5"/>
  <c r="H11" i="8" s="1"/>
  <c r="I24" i="5"/>
  <c r="G24" i="8" s="1"/>
  <c r="J22" i="5"/>
  <c r="H22" i="8" s="1"/>
  <c r="P22" i="8" s="1"/>
  <c r="J19" i="5"/>
  <c r="H19" i="8" s="1"/>
  <c r="I15" i="5"/>
  <c r="G15" i="8" s="1"/>
  <c r="O15" i="8" s="1"/>
  <c r="J27" i="5"/>
  <c r="H27" i="8" s="1"/>
  <c r="J16" i="5"/>
  <c r="H16" i="8" s="1"/>
  <c r="I14" i="5"/>
  <c r="G14" i="8" s="1"/>
  <c r="O14" i="8" s="1"/>
  <c r="J21" i="5"/>
  <c r="H21" i="8" s="1"/>
  <c r="I9" i="5"/>
  <c r="G9" i="8" s="1"/>
  <c r="I34" i="5"/>
  <c r="G34" i="8" s="1"/>
  <c r="O34" i="8" s="1"/>
  <c r="L23" i="6"/>
  <c r="J23" i="8" s="1"/>
  <c r="P23" i="8" s="1"/>
  <c r="K37" i="6"/>
  <c r="I37" i="8" s="1"/>
  <c r="I37" i="5"/>
  <c r="G37" i="8" s="1"/>
  <c r="L30" i="6"/>
  <c r="J30" i="8" s="1"/>
  <c r="P30" i="8" s="1"/>
  <c r="K33" i="6"/>
  <c r="I33" i="8" s="1"/>
  <c r="O33" i="8" s="1"/>
  <c r="L17" i="6"/>
  <c r="J17" i="8" s="1"/>
  <c r="L37" i="6"/>
  <c r="J37" i="8" s="1"/>
  <c r="P37" i="8" s="1"/>
  <c r="L25" i="6"/>
  <c r="J25" i="8" s="1"/>
  <c r="L33" i="6"/>
  <c r="J33" i="8" s="1"/>
  <c r="L35" i="6"/>
  <c r="J35" i="8" s="1"/>
  <c r="L36" i="6"/>
  <c r="J36" i="8" s="1"/>
  <c r="K16" i="6"/>
  <c r="I16" i="8" s="1"/>
  <c r="L19" i="6"/>
  <c r="J19" i="8" s="1"/>
  <c r="K21" i="6"/>
  <c r="I21" i="8" s="1"/>
  <c r="K20" i="6"/>
  <c r="I20" i="8" s="1"/>
  <c r="K28" i="6"/>
  <c r="I28" i="8" s="1"/>
  <c r="K35" i="6"/>
  <c r="I35" i="8" s="1"/>
  <c r="L21" i="6"/>
  <c r="J21" i="8" s="1"/>
  <c r="K32" i="6"/>
  <c r="I32" i="8" s="1"/>
  <c r="L31" i="6"/>
  <c r="J31" i="8" s="1"/>
  <c r="L13" i="6"/>
  <c r="J13" i="8" s="1"/>
  <c r="P13" i="8" s="1"/>
  <c r="L15" i="6"/>
  <c r="J15" i="8" s="1"/>
  <c r="K8" i="6"/>
  <c r="I8" i="8" s="1"/>
  <c r="L29" i="6"/>
  <c r="J29" i="8" s="1"/>
  <c r="L34" i="6"/>
  <c r="J34" i="8" s="1"/>
  <c r="K12" i="6"/>
  <c r="I12" i="8" s="1"/>
  <c r="L27" i="6"/>
  <c r="J27" i="8" s="1"/>
  <c r="L11" i="6"/>
  <c r="J11" i="8" s="1"/>
  <c r="K24" i="6"/>
  <c r="I24" i="8" s="1"/>
  <c r="P26" i="8"/>
  <c r="P10" i="8"/>
  <c r="P18" i="8"/>
  <c r="P32" i="8"/>
  <c r="K40" i="8"/>
  <c r="P20" i="8"/>
  <c r="J8" i="7"/>
  <c r="AB7" i="3"/>
  <c r="P28" i="8"/>
  <c r="G8" i="8"/>
  <c r="H8" i="8"/>
  <c r="O13" i="8"/>
  <c r="P14" i="8"/>
  <c r="C40" i="8"/>
  <c r="D8" i="8"/>
  <c r="AC7" i="3"/>
  <c r="O36" i="8"/>
  <c r="R22" i="8" l="1"/>
  <c r="R13" i="8"/>
  <c r="R14" i="8"/>
  <c r="P34" i="8"/>
  <c r="R34" i="8" s="1"/>
  <c r="P35" i="8"/>
  <c r="L8" i="5"/>
  <c r="M8" i="5"/>
  <c r="H40" i="8"/>
  <c r="O37" i="8"/>
  <c r="R37" i="8" s="1"/>
  <c r="G40" i="8"/>
  <c r="P19" i="8"/>
  <c r="O35" i="8"/>
  <c r="P17" i="8"/>
  <c r="R17" i="8" s="1"/>
  <c r="P21" i="8"/>
  <c r="P15" i="8"/>
  <c r="R15" i="8" s="1"/>
  <c r="O18" i="8"/>
  <c r="R18" i="8" s="1"/>
  <c r="O10" i="8"/>
  <c r="R10" i="8" s="1"/>
  <c r="O23" i="8"/>
  <c r="R23" i="8" s="1"/>
  <c r="O28" i="8"/>
  <c r="R28" i="8" s="1"/>
  <c r="P11" i="8"/>
  <c r="P33" i="8"/>
  <c r="R33" i="8" s="1"/>
  <c r="P25" i="8"/>
  <c r="R25" i="8" s="1"/>
  <c r="P36" i="8"/>
  <c r="R36" i="8" s="1"/>
  <c r="I40" i="8"/>
  <c r="O20" i="8"/>
  <c r="R20" i="8" s="1"/>
  <c r="O12" i="8"/>
  <c r="O32" i="8"/>
  <c r="R32" i="8" s="1"/>
  <c r="P31" i="8"/>
  <c r="R31" i="8" s="1"/>
  <c r="N8" i="6"/>
  <c r="J40" i="8"/>
  <c r="O8" i="6"/>
  <c r="P29" i="8"/>
  <c r="P27" i="8"/>
  <c r="P12" i="8"/>
  <c r="O16" i="8"/>
  <c r="O29" i="8"/>
  <c r="O27" i="8"/>
  <c r="O26" i="8"/>
  <c r="R26" i="8" s="1"/>
  <c r="P24" i="8"/>
  <c r="P16" i="8"/>
  <c r="O11" i="8"/>
  <c r="O19" i="8"/>
  <c r="O24" i="8"/>
  <c r="O21" i="8"/>
  <c r="P8" i="8"/>
  <c r="O30" i="8"/>
  <c r="R30" i="8" s="1"/>
  <c r="O9" i="8"/>
  <c r="R9" i="8" s="1"/>
  <c r="D40" i="8"/>
  <c r="O8" i="8"/>
  <c r="R16" i="8" l="1"/>
  <c r="R21" i="8"/>
  <c r="R27" i="8"/>
  <c r="R35" i="8"/>
  <c r="R12" i="8"/>
  <c r="R29" i="8"/>
  <c r="R11" i="8"/>
  <c r="R24" i="8"/>
  <c r="R19" i="8"/>
  <c r="R8" i="8"/>
  <c r="P40" i="8"/>
  <c r="F40" i="8"/>
  <c r="E40" i="8"/>
  <c r="O40" i="8"/>
  <c r="C42" i="8" l="1"/>
  <c r="R40" i="8"/>
  <c r="O42" i="8"/>
</calcChain>
</file>

<file path=xl/sharedStrings.xml><?xml version="1.0" encoding="utf-8"?>
<sst xmlns="http://schemas.openxmlformats.org/spreadsheetml/2006/main" count="1607" uniqueCount="191">
  <si>
    <t>Néant</t>
  </si>
  <si>
    <t>Ondées sur reliefs</t>
  </si>
  <si>
    <t>Pluies ou averses</t>
  </si>
  <si>
    <t>Ondées</t>
  </si>
  <si>
    <t>Ville</t>
  </si>
  <si>
    <t>Date</t>
  </si>
  <si>
    <t>Mois</t>
  </si>
  <si>
    <t>06h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</si>
  <si>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</si>
  <si>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</si>
  <si>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</si>
  <si>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</si>
  <si>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</si>
  <si>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</si>
  <si>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</si>
  <si>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</si>
  <si>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</si>
  <si>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</si>
  <si>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</si>
  <si>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07h</t>
  </si>
  <si>
    <t>Tmax</t>
  </si>
  <si>
    <t>Tmin</t>
  </si>
  <si>
    <t>Vent : Direction et Force</t>
  </si>
  <si>
    <t>DD</t>
  </si>
  <si>
    <t>ff</t>
  </si>
  <si>
    <t xml:space="preserve">Taux de réussite final 48 </t>
  </si>
  <si>
    <t>Taux de réussite final 24</t>
  </si>
  <si>
    <t>Score 48</t>
  </si>
  <si>
    <t>Pré 48</t>
  </si>
  <si>
    <t>Pré 24</t>
  </si>
  <si>
    <t>Obs</t>
  </si>
  <si>
    <t>Taux de réussite 48</t>
  </si>
  <si>
    <t>Taux de réussite 24</t>
  </si>
  <si>
    <t>Score 24</t>
  </si>
  <si>
    <t>15h-18h</t>
  </si>
  <si>
    <t>12h-14h</t>
  </si>
  <si>
    <t>09h-11h</t>
  </si>
  <si>
    <t>06h-08h</t>
  </si>
  <si>
    <t>Contrôle de l'état du ciel</t>
  </si>
  <si>
    <t>FF</t>
  </si>
  <si>
    <t>Taux de réussite final</t>
  </si>
  <si>
    <t>Moyenne</t>
  </si>
  <si>
    <t>Observé</t>
  </si>
  <si>
    <t>Prévu 48</t>
  </si>
  <si>
    <t>Prévu 24</t>
  </si>
  <si>
    <t>Taux de réussite</t>
  </si>
  <si>
    <t>Observe</t>
  </si>
  <si>
    <t>Prevu 48</t>
  </si>
  <si>
    <t>Prevu 24</t>
  </si>
  <si>
    <t>Score</t>
  </si>
  <si>
    <t>Prévu</t>
  </si>
  <si>
    <t>Phénomène 4</t>
  </si>
  <si>
    <t>Temps assez chaud</t>
  </si>
  <si>
    <t>Temps assez froid</t>
  </si>
  <si>
    <t>Temps chaud</t>
  </si>
  <si>
    <t>Temps froid</t>
  </si>
  <si>
    <t>Risque des ondées sur reliefs</t>
  </si>
  <si>
    <t>Risque de neige sur reliefs</t>
  </si>
  <si>
    <t>Neige su reliefs</t>
  </si>
  <si>
    <t>Risque des pluies ou averses sur reliefs</t>
  </si>
  <si>
    <t>Pluies ou averses sur reliefs</t>
  </si>
  <si>
    <t>Risque des ondées</t>
  </si>
  <si>
    <t>Risque de neige</t>
  </si>
  <si>
    <t>Neige</t>
  </si>
  <si>
    <t>Risque de chasses de sable</t>
  </si>
  <si>
    <t>Chasses de sable</t>
  </si>
  <si>
    <t>Risque des orages</t>
  </si>
  <si>
    <t>Orages</t>
  </si>
  <si>
    <t>Phénomène 3</t>
  </si>
  <si>
    <t>Risque de formations brumeuses</t>
  </si>
  <si>
    <t xml:space="preserve">Formations brumeuses </t>
  </si>
  <si>
    <t>Risque de vents ou rafales</t>
  </si>
  <si>
    <t>Vents ou rafales</t>
  </si>
  <si>
    <t>Risque de pluies ou averses</t>
  </si>
  <si>
    <t>Phénomène observé</t>
  </si>
  <si>
    <t>Phénomène prévu</t>
  </si>
  <si>
    <t>Phénomène 2</t>
  </si>
  <si>
    <t>Phénomène 1</t>
  </si>
  <si>
    <t>Contrôle des phénomènes</t>
  </si>
  <si>
    <t xml:space="preserve">Taux de réussite </t>
  </si>
  <si>
    <t>Tx(J)</t>
  </si>
  <si>
    <t>Tx (J-1)</t>
  </si>
  <si>
    <t>Tendance 24</t>
  </si>
  <si>
    <t>Valeur 48</t>
  </si>
  <si>
    <t>Valeur 24</t>
  </si>
  <si>
    <t>Paramétre</t>
  </si>
  <si>
    <t>Taux final de réussite</t>
  </si>
  <si>
    <t>Taux de Réussite % jour</t>
  </si>
  <si>
    <t>Taux de réussite Pré 48</t>
  </si>
  <si>
    <t>Taux de réusite Pré 24</t>
  </si>
  <si>
    <t>Taux de réussite journalier</t>
  </si>
  <si>
    <t>Phénomènes</t>
  </si>
  <si>
    <t>Vent</t>
  </si>
  <si>
    <t>Etat du ciel</t>
  </si>
  <si>
    <t>&gt;&gt;Devenant&gt;&gt;</t>
  </si>
  <si>
    <t>12h-24h</t>
  </si>
  <si>
    <t>24h-36h</t>
  </si>
  <si>
    <t>36h-48h</t>
  </si>
  <si>
    <t>DD1</t>
  </si>
  <si>
    <t>DD2</t>
  </si>
  <si>
    <t>FF/Raf</t>
  </si>
  <si>
    <t>DD3</t>
  </si>
  <si>
    <t>Prévu 12-24</t>
  </si>
  <si>
    <t>Tn (J-1)</t>
  </si>
  <si>
    <t>Tn(J)</t>
  </si>
  <si>
    <t>Vent moyen observé : Direction e force</t>
  </si>
  <si>
    <t>Etat du ciel observé</t>
  </si>
  <si>
    <t>Etat du ciel prévu</t>
  </si>
  <si>
    <t>Phénomènes prévus</t>
  </si>
  <si>
    <t>Nébulosité observée</t>
  </si>
  <si>
    <t>Nébulosité prévue</t>
  </si>
  <si>
    <t>Vent prévu: Directions et forces</t>
  </si>
  <si>
    <t>Température prévue</t>
  </si>
  <si>
    <t>Température observée</t>
  </si>
  <si>
    <t>Pré 36-48</t>
  </si>
  <si>
    <t>Prévu 00-12</t>
  </si>
  <si>
    <t>Prévu 24-36</t>
  </si>
  <si>
    <t>09H-11H</t>
  </si>
  <si>
    <t>Prévu 36-48</t>
  </si>
  <si>
    <t>observation</t>
  </si>
  <si>
    <t>Prévu 24-48</t>
  </si>
  <si>
    <t>Pré 
00-12</t>
  </si>
  <si>
    <t>Pré 
24-36</t>
  </si>
  <si>
    <t>Pré 
12-24</t>
  </si>
  <si>
    <t>Pré 
36-48</t>
  </si>
  <si>
    <t>Contrôle de la direction et la force du vent</t>
  </si>
  <si>
    <t>Contrôle de la température maximale</t>
  </si>
  <si>
    <t>Tendance  48</t>
  </si>
  <si>
    <t>Tendance  24</t>
  </si>
  <si>
    <t>Contrôle de la température minimale</t>
  </si>
  <si>
    <t>Phénomènes 
Observés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</si>
  <si>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</si>
  <si>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</si>
  <si>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</si>
  <si>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</si>
  <si>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</si>
  <si>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</si>
  <si>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</si>
  <si>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</si>
  <si>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</si>
  <si>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</si>
  <si>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</si>
  <si>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</si>
  <si>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</si>
  <si>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</si>
  <si>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</si>
  <si>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</si>
  <si>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</si>
  <si>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</si>
  <si>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</si>
  <si>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</si>
  <si>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</si>
  <si>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</si>
  <si>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</si>
  <si>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</si>
  <si>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</si>
  <si>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</si>
  <si>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</si>
  <si>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</si>
  <si>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</si>
  <si>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</si>
  <si>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</si>
  <si>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 xml:space="preserve"> Pluies/Averses</t>
  </si>
  <si>
    <t xml:space="preserve"> Pluies/Averses - Neige - Pluies/Averses - Neige</t>
  </si>
  <si>
    <t>2022-12-31</t>
  </si>
  <si>
    <t>Risque Pluies/Averses</t>
  </si>
  <si>
    <t>Gelée locale</t>
  </si>
  <si>
    <t>Errachidia</t>
  </si>
  <si>
    <t>01</t>
  </si>
  <si>
    <t>Brume/Brouillard - Brouillard/Brume</t>
  </si>
  <si>
    <t>Brume/Brouillard - Pluies/Averses</t>
  </si>
  <si>
    <t>Pluies/Averses</t>
  </si>
  <si>
    <t>Risque Pluies/Averses - Neige</t>
  </si>
  <si>
    <t>Neige - Risque Pluies/Averses</t>
  </si>
  <si>
    <t>Gelée locale - Neige</t>
  </si>
  <si>
    <t>Gelée - Neige - Pluies/Averses</t>
  </si>
  <si>
    <t>Midelt</t>
  </si>
  <si>
    <t/>
  </si>
  <si>
    <t>Pluies/Averses - Neige</t>
  </si>
  <si>
    <t>Risque Pluies/Averses - Pluies/Averses</t>
  </si>
  <si>
    <t>Risque Brume/Brouillard</t>
  </si>
  <si>
    <t>Risque Pluies/Averses - Neige - Pluies/Averses</t>
  </si>
  <si>
    <t>Gelée locale - Risque Brume/Brouillard</t>
  </si>
  <si>
    <t>Beni_Mellal</t>
  </si>
  <si>
    <t xml:space="preserve"> Pluies/Averses - Pluies/Averses</t>
  </si>
  <si>
    <t>Gelée locale - Risque Pluies/Averses</t>
  </si>
  <si>
    <t>Ouarzazate</t>
  </si>
  <si>
    <t>Brume/Brouillard</t>
  </si>
  <si>
    <t>Pluies/Averses - Risque Pluies/Averses</t>
  </si>
  <si>
    <t>Pluies/Averses - Risque neige</t>
  </si>
  <si>
    <t>Khouribga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</si>
</sst>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0"/>
        <bgColor indexed="49"/>
      </patternFill>
    </fill>
    <fill>
      <patternFill patternType="solid">
        <fgColor indexed="13"/>
        <bgColor indexed="3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9DCB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EE4CE"/>
        <bgColor indexed="64"/>
      </patternFill>
    </fill>
    <fill>
      <patternFill patternType="solid">
        <fgColor rgb="FFFFFF05"/>
        <bgColor indexed="64"/>
      </patternFill>
    </fill>
    <fill>
      <patternFill patternType="solid">
        <fgColor rgb="FFFFFF57"/>
        <bgColor indexed="64"/>
      </patternFill>
    </fill>
    <fill>
      <patternFill patternType="solid">
        <fgColor rgb="FFE5CBF9"/>
        <bgColor indexed="64"/>
      </patternFill>
    </fill>
    <fill>
      <patternFill patternType="solid">
        <fgColor theme="1"/>
        <bgColor indexed="4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34"/>
      </patternFill>
    </fill>
    <fill>
      <patternFill patternType="solid">
        <fgColor theme="7" tint="0.59999389629810485"/>
        <bgColor indexed="49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thin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3"/>
      </top>
      <bottom/>
      <diagonal/>
    </border>
    <border>
      <left/>
      <right style="medium">
        <color indexed="64"/>
      </right>
      <top style="thin">
        <color indexed="63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3"/>
      </bottom>
      <diagonal/>
    </border>
    <border>
      <left style="medium">
        <color indexed="63"/>
      </left>
      <right/>
      <top style="medium">
        <color indexed="64"/>
      </top>
      <bottom style="medium">
        <color indexed="63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4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/>
      <top style="thin">
        <color indexed="6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4"/>
      </right>
      <top style="medium">
        <color indexed="63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/>
      <top style="thin">
        <color indexed="63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3"/>
      </right>
      <top style="thin">
        <color indexed="63"/>
      </top>
      <bottom style="medium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3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21">
    <xf numFmtId="0" fontId="0" fillId="0" borderId="0" xfId="0"/>
    <xf numFmtId="0" fontId="2" fillId="0" borderId="0" xfId="1"/>
    <xf numFmtId="0" fontId="3" fillId="0" borderId="0" xfId="1" applyFont="1"/>
    <xf numFmtId="0" fontId="1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1" applyFont="1"/>
    <xf numFmtId="0" fontId="8" fillId="0" borderId="0" xfId="1" applyFont="1" applyAlignment="1">
      <alignment horizontal="center" vertical="center"/>
    </xf>
    <xf numFmtId="0" fontId="9" fillId="0" borderId="0" xfId="1" applyFont="1"/>
    <xf numFmtId="0" fontId="4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7" borderId="36" xfId="0" applyFont="1" applyFill="1" applyBorder="1"/>
    <xf numFmtId="0" fontId="4" fillId="8" borderId="9" xfId="1" applyFont="1" applyFill="1" applyBorder="1"/>
    <xf numFmtId="0" fontId="8" fillId="0" borderId="26" xfId="1" applyFont="1" applyBorder="1"/>
    <xf numFmtId="0" fontId="8" fillId="16" borderId="26" xfId="1" applyFont="1" applyFill="1" applyBorder="1"/>
    <xf numFmtId="0" fontId="8" fillId="12" borderId="26" xfId="1" applyFont="1" applyFill="1" applyBorder="1" applyAlignment="1">
      <alignment vertical="center"/>
    </xf>
    <xf numFmtId="10" fontId="8" fillId="0" borderId="68" xfId="1" applyNumberFormat="1" applyFont="1" applyBorder="1"/>
    <xf numFmtId="0" fontId="4" fillId="17" borderId="17" xfId="0" applyFont="1" applyFill="1" applyBorder="1"/>
    <xf numFmtId="0" fontId="4" fillId="8" borderId="7" xfId="1" applyFont="1" applyFill="1" applyBorder="1"/>
    <xf numFmtId="0" fontId="8" fillId="0" borderId="7" xfId="1" applyFont="1" applyBorder="1"/>
    <xf numFmtId="0" fontId="8" fillId="16" borderId="9" xfId="1" applyFont="1" applyFill="1" applyBorder="1"/>
    <xf numFmtId="0" fontId="8" fillId="12" borderId="7" xfId="1" applyFont="1" applyFill="1" applyBorder="1" applyAlignment="1">
      <alignment vertical="center"/>
    </xf>
    <xf numFmtId="0" fontId="4" fillId="17" borderId="18" xfId="0" applyFont="1" applyFill="1" applyBorder="1"/>
    <xf numFmtId="0" fontId="4" fillId="8" borderId="8" xfId="1" applyFont="1" applyFill="1" applyBorder="1"/>
    <xf numFmtId="0" fontId="8" fillId="0" borderId="8" xfId="1" applyFont="1" applyBorder="1"/>
    <xf numFmtId="0" fontId="8" fillId="16" borderId="12" xfId="1" applyFont="1" applyFill="1" applyBorder="1"/>
    <xf numFmtId="0" fontId="8" fillId="12" borderId="8" xfId="1" applyFont="1" applyFill="1" applyBorder="1" applyAlignment="1">
      <alignment vertical="center"/>
    </xf>
    <xf numFmtId="10" fontId="8" fillId="0" borderId="2" xfId="1" applyNumberFormat="1" applyFont="1" applyBorder="1"/>
    <xf numFmtId="10" fontId="10" fillId="0" borderId="69" xfId="1" applyNumberFormat="1" applyFont="1" applyBorder="1"/>
    <xf numFmtId="10" fontId="10" fillId="0" borderId="68" xfId="1" applyNumberFormat="1" applyFont="1" applyBorder="1"/>
    <xf numFmtId="0" fontId="8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4" fillId="16" borderId="20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Border="1"/>
    <xf numFmtId="0" fontId="0" fillId="19" borderId="29" xfId="0" applyFont="1" applyFill="1" applyBorder="1"/>
    <xf numFmtId="0" fontId="0" fillId="19" borderId="1" xfId="0" applyFont="1" applyFill="1" applyBorder="1"/>
    <xf numFmtId="0" fontId="0" fillId="19" borderId="25" xfId="0" applyFont="1" applyFill="1" applyBorder="1"/>
    <xf numFmtId="0" fontId="0" fillId="19" borderId="31" xfId="0" applyFont="1" applyFill="1" applyBorder="1"/>
    <xf numFmtId="0" fontId="0" fillId="19" borderId="96" xfId="0" applyFont="1" applyFill="1" applyBorder="1"/>
    <xf numFmtId="0" fontId="0" fillId="19" borderId="100" xfId="0" applyFont="1" applyFill="1" applyBorder="1"/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13" fillId="22" borderId="112" xfId="1" applyFont="1" applyFill="1" applyBorder="1" applyAlignment="1">
      <alignment vertical="center"/>
    </xf>
    <xf numFmtId="0" fontId="9" fillId="23" borderId="113" xfId="1" applyFont="1" applyFill="1" applyBorder="1" applyAlignment="1">
      <alignment vertical="center"/>
    </xf>
    <xf numFmtId="0" fontId="8" fillId="17" borderId="98" xfId="1" applyFont="1" applyFill="1" applyBorder="1" applyAlignment="1">
      <alignment vertical="center"/>
    </xf>
    <xf numFmtId="0" fontId="8" fillId="0" borderId="29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30" xfId="1" applyFont="1" applyBorder="1" applyAlignment="1">
      <alignment vertical="center"/>
    </xf>
    <xf numFmtId="0" fontId="8" fillId="0" borderId="29" xfId="1" applyFont="1" applyFill="1" applyBorder="1" applyAlignment="1">
      <alignment vertical="center"/>
    </xf>
    <xf numFmtId="0" fontId="8" fillId="0" borderId="30" xfId="1" applyFont="1" applyFill="1" applyBorder="1" applyAlignment="1">
      <alignment vertical="center"/>
    </xf>
    <xf numFmtId="0" fontId="14" fillId="22" borderId="27" xfId="1" applyFont="1" applyFill="1" applyBorder="1" applyAlignment="1">
      <alignment vertical="center"/>
    </xf>
    <xf numFmtId="0" fontId="14" fillId="23" borderId="28" xfId="1" applyFont="1" applyFill="1" applyBorder="1" applyAlignment="1">
      <alignment vertical="center"/>
    </xf>
    <xf numFmtId="0" fontId="8" fillId="24" borderId="7" xfId="1" applyFont="1" applyFill="1" applyBorder="1" applyAlignment="1">
      <alignment vertical="center"/>
    </xf>
    <xf numFmtId="0" fontId="8" fillId="12" borderId="30" xfId="1" applyFont="1" applyFill="1" applyBorder="1" applyAlignment="1">
      <alignment vertical="center"/>
    </xf>
    <xf numFmtId="0" fontId="8" fillId="17" borderId="17" xfId="1" applyFont="1" applyFill="1" applyBorder="1" applyAlignment="1">
      <alignment vertical="center"/>
    </xf>
    <xf numFmtId="0" fontId="14" fillId="22" borderId="29" xfId="1" applyFont="1" applyFill="1" applyBorder="1" applyAlignment="1">
      <alignment vertical="center"/>
    </xf>
    <xf numFmtId="0" fontId="14" fillId="23" borderId="30" xfId="1" applyFont="1" applyFill="1" applyBorder="1" applyAlignment="1">
      <alignment vertical="center"/>
    </xf>
    <xf numFmtId="0" fontId="8" fillId="17" borderId="18" xfId="1" applyFont="1" applyFill="1" applyBorder="1" applyAlignment="1">
      <alignment vertical="center"/>
    </xf>
    <xf numFmtId="0" fontId="8" fillId="0" borderId="31" xfId="1" applyFont="1" applyBorder="1" applyAlignment="1">
      <alignment vertical="center"/>
    </xf>
    <xf numFmtId="0" fontId="8" fillId="0" borderId="96" xfId="1" applyFont="1" applyBorder="1" applyAlignment="1">
      <alignment vertical="center"/>
    </xf>
    <xf numFmtId="0" fontId="8" fillId="0" borderId="97" xfId="1" applyFont="1" applyBorder="1" applyAlignment="1">
      <alignment vertical="center"/>
    </xf>
    <xf numFmtId="0" fontId="8" fillId="0" borderId="31" xfId="1" applyFont="1" applyFill="1" applyBorder="1" applyAlignment="1">
      <alignment vertical="center"/>
    </xf>
    <xf numFmtId="0" fontId="8" fillId="0" borderId="97" xfId="1" applyFont="1" applyFill="1" applyBorder="1" applyAlignment="1">
      <alignment vertical="center"/>
    </xf>
    <xf numFmtId="0" fontId="14" fillId="22" borderId="31" xfId="1" applyFont="1" applyFill="1" applyBorder="1" applyAlignment="1">
      <alignment vertical="center"/>
    </xf>
    <xf numFmtId="0" fontId="14" fillId="23" borderId="97" xfId="1" applyFont="1" applyFill="1" applyBorder="1" applyAlignment="1">
      <alignment vertical="center"/>
    </xf>
    <xf numFmtId="0" fontId="8" fillId="24" borderId="8" xfId="1" applyFont="1" applyFill="1" applyBorder="1" applyAlignment="1">
      <alignment vertical="center"/>
    </xf>
    <xf numFmtId="0" fontId="8" fillId="12" borderId="97" xfId="1" applyFont="1" applyFill="1" applyBorder="1" applyAlignment="1">
      <alignment vertical="center"/>
    </xf>
    <xf numFmtId="0" fontId="9" fillId="0" borderId="0" xfId="1" applyFont="1" applyBorder="1" applyAlignment="1">
      <alignment vertical="center" wrapText="1"/>
    </xf>
    <xf numFmtId="0" fontId="8" fillId="0" borderId="2" xfId="1" applyFont="1" applyBorder="1" applyAlignment="1">
      <alignment horizontal="center" vertical="center"/>
    </xf>
    <xf numFmtId="0" fontId="9" fillId="10" borderId="41" xfId="1" applyFont="1" applyFill="1" applyBorder="1" applyAlignment="1">
      <alignment horizontal="center" vertical="center"/>
    </xf>
    <xf numFmtId="0" fontId="9" fillId="15" borderId="73" xfId="1" applyFont="1" applyFill="1" applyBorder="1" applyAlignment="1">
      <alignment horizontal="center" vertical="center"/>
    </xf>
    <xf numFmtId="0" fontId="9" fillId="11" borderId="2" xfId="1" applyFont="1" applyFill="1" applyBorder="1" applyAlignment="1">
      <alignment horizontal="center" vertical="center"/>
    </xf>
    <xf numFmtId="0" fontId="9" fillId="10" borderId="74" xfId="1" applyFont="1" applyFill="1" applyBorder="1" applyAlignment="1">
      <alignment horizontal="center" vertical="center"/>
    </xf>
    <xf numFmtId="0" fontId="9" fillId="14" borderId="24" xfId="1" applyFont="1" applyFill="1" applyBorder="1" applyAlignment="1">
      <alignment horizontal="center" vertical="center"/>
    </xf>
    <xf numFmtId="0" fontId="8" fillId="20" borderId="36" xfId="1" applyFont="1" applyFill="1" applyBorder="1" applyAlignment="1">
      <alignment vertical="center"/>
    </xf>
    <xf numFmtId="0" fontId="8" fillId="0" borderId="36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10" fontId="8" fillId="0" borderId="42" xfId="1" applyNumberFormat="1" applyFont="1" applyBorder="1"/>
    <xf numFmtId="10" fontId="8" fillId="0" borderId="9" xfId="1" applyNumberFormat="1" applyFont="1" applyBorder="1"/>
    <xf numFmtId="10" fontId="8" fillId="0" borderId="32" xfId="1" applyNumberFormat="1" applyFont="1" applyBorder="1"/>
    <xf numFmtId="10" fontId="8" fillId="0" borderId="41" xfId="1" applyNumberFormat="1" applyFont="1" applyBorder="1"/>
    <xf numFmtId="0" fontId="8" fillId="20" borderId="17" xfId="1" applyFont="1" applyFill="1" applyBorder="1" applyAlignment="1">
      <alignment vertical="center"/>
    </xf>
    <xf numFmtId="0" fontId="8" fillId="20" borderId="18" xfId="1" applyFont="1" applyFill="1" applyBorder="1" applyAlignment="1">
      <alignment vertical="center"/>
    </xf>
    <xf numFmtId="10" fontId="8" fillId="0" borderId="75" xfId="1" applyNumberFormat="1" applyFont="1" applyBorder="1"/>
    <xf numFmtId="10" fontId="8" fillId="0" borderId="12" xfId="1" applyNumberFormat="1" applyFont="1" applyBorder="1"/>
    <xf numFmtId="0" fontId="8" fillId="0" borderId="0" xfId="1" applyFont="1" applyBorder="1"/>
    <xf numFmtId="0" fontId="9" fillId="10" borderId="32" xfId="1" applyFont="1" applyFill="1" applyBorder="1" applyAlignment="1">
      <alignment horizontal="center" vertical="center"/>
    </xf>
    <xf numFmtId="0" fontId="9" fillId="15" borderId="34" xfId="1" applyFont="1" applyFill="1" applyBorder="1" applyAlignment="1">
      <alignment horizontal="center" vertical="center"/>
    </xf>
    <xf numFmtId="0" fontId="9" fillId="11" borderId="26" xfId="1" applyFont="1" applyFill="1" applyBorder="1" applyAlignment="1">
      <alignment horizontal="center" vertical="center"/>
    </xf>
    <xf numFmtId="0" fontId="9" fillId="10" borderId="42" xfId="1" applyFont="1" applyFill="1" applyBorder="1" applyAlignment="1">
      <alignment horizontal="center" vertical="center"/>
    </xf>
    <xf numFmtId="0" fontId="9" fillId="14" borderId="39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8" fillId="0" borderId="13" xfId="1" applyFont="1" applyBorder="1"/>
    <xf numFmtId="0" fontId="8" fillId="0" borderId="3" xfId="1" applyFont="1" applyBorder="1"/>
    <xf numFmtId="0" fontId="8" fillId="0" borderId="19" xfId="1" applyFont="1" applyBorder="1"/>
    <xf numFmtId="0" fontId="8" fillId="0" borderId="11" xfId="1" applyFont="1" applyBorder="1"/>
    <xf numFmtId="0" fontId="8" fillId="0" borderId="18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8" fillId="20" borderId="9" xfId="1" applyFont="1" applyFill="1" applyBorder="1" applyAlignment="1">
      <alignment vertical="center"/>
    </xf>
    <xf numFmtId="0" fontId="8" fillId="20" borderId="7" xfId="1" applyFont="1" applyFill="1" applyBorder="1" applyAlignment="1">
      <alignment vertical="center"/>
    </xf>
    <xf numFmtId="0" fontId="8" fillId="20" borderId="8" xfId="1" applyFont="1" applyFill="1" applyBorder="1" applyAlignment="1">
      <alignment vertical="center"/>
    </xf>
    <xf numFmtId="0" fontId="8" fillId="20" borderId="79" xfId="1" applyFont="1" applyFill="1" applyBorder="1" applyAlignment="1">
      <alignment vertical="center"/>
    </xf>
    <xf numFmtId="0" fontId="8" fillId="0" borderId="114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0" fontId="8" fillId="0" borderId="114" xfId="1" applyNumberFormat="1" applyFont="1" applyBorder="1"/>
    <xf numFmtId="10" fontId="8" fillId="0" borderId="11" xfId="1" applyNumberFormat="1" applyFont="1" applyBorder="1"/>
    <xf numFmtId="0" fontId="8" fillId="0" borderId="112" xfId="1" applyFont="1" applyBorder="1" applyAlignment="1">
      <alignment horizontal="center" vertical="center"/>
    </xf>
    <xf numFmtId="0" fontId="8" fillId="0" borderId="115" xfId="1" applyFont="1" applyBorder="1" applyAlignment="1">
      <alignment horizontal="center" vertical="center"/>
    </xf>
    <xf numFmtId="0" fontId="8" fillId="0" borderId="79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8" fillId="17" borderId="7" xfId="1" applyFont="1" applyFill="1" applyBorder="1"/>
    <xf numFmtId="0" fontId="8" fillId="0" borderId="86" xfId="1" applyFont="1" applyBorder="1"/>
    <xf numFmtId="0" fontId="8" fillId="3" borderId="107" xfId="1" applyFont="1" applyFill="1" applyBorder="1"/>
    <xf numFmtId="0" fontId="8" fillId="0" borderId="108" xfId="1" applyFont="1" applyBorder="1"/>
    <xf numFmtId="0" fontId="8" fillId="13" borderId="86" xfId="1" applyFont="1" applyFill="1" applyBorder="1"/>
    <xf numFmtId="0" fontId="8" fillId="12" borderId="60" xfId="1" applyFont="1" applyFill="1" applyBorder="1"/>
    <xf numFmtId="10" fontId="8" fillId="0" borderId="27" xfId="1" applyNumberFormat="1" applyFont="1" applyBorder="1"/>
    <xf numFmtId="10" fontId="8" fillId="0" borderId="88" xfId="1" applyNumberFormat="1" applyFont="1" applyBorder="1"/>
    <xf numFmtId="0" fontId="8" fillId="0" borderId="38" xfId="1" applyFont="1" applyBorder="1"/>
    <xf numFmtId="0" fontId="8" fillId="25" borderId="21" xfId="1" applyFont="1" applyFill="1" applyBorder="1"/>
    <xf numFmtId="0" fontId="8" fillId="3" borderId="21" xfId="1" applyFont="1" applyFill="1" applyBorder="1"/>
    <xf numFmtId="0" fontId="8" fillId="0" borderId="55" xfId="1" applyFont="1" applyBorder="1"/>
    <xf numFmtId="0" fontId="8" fillId="13" borderId="44" xfId="1" applyFont="1" applyFill="1" applyBorder="1"/>
    <xf numFmtId="0" fontId="8" fillId="12" borderId="87" xfId="1" applyFont="1" applyFill="1" applyBorder="1"/>
    <xf numFmtId="0" fontId="8" fillId="13" borderId="61" xfId="1" applyFont="1" applyFill="1" applyBorder="1"/>
    <xf numFmtId="10" fontId="8" fillId="0" borderId="89" xfId="1" applyNumberFormat="1" applyFont="1" applyBorder="1"/>
    <xf numFmtId="0" fontId="8" fillId="17" borderId="79" xfId="1" applyFont="1" applyFill="1" applyBorder="1"/>
    <xf numFmtId="0" fontId="8" fillId="17" borderId="8" xfId="1" applyFont="1" applyFill="1" applyBorder="1"/>
    <xf numFmtId="0" fontId="8" fillId="0" borderId="85" xfId="1" applyFont="1" applyBorder="1"/>
    <xf numFmtId="0" fontId="8" fillId="13" borderId="6" xfId="1" applyFont="1" applyFill="1" applyBorder="1"/>
    <xf numFmtId="0" fontId="8" fillId="12" borderId="12" xfId="1" applyFont="1" applyFill="1" applyBorder="1"/>
    <xf numFmtId="0" fontId="8" fillId="13" borderId="62" xfId="1" applyFont="1" applyFill="1" applyBorder="1"/>
    <xf numFmtId="10" fontId="8" fillId="0" borderId="35" xfId="1" applyNumberFormat="1" applyFont="1" applyBorder="1"/>
    <xf numFmtId="10" fontId="8" fillId="0" borderId="16" xfId="1" applyNumberFormat="1" applyFont="1" applyBorder="1"/>
    <xf numFmtId="10" fontId="8" fillId="0" borderId="2" xfId="1" applyNumberFormat="1" applyFont="1" applyBorder="1" applyAlignment="1">
      <alignment horizontal="center" vertical="center"/>
    </xf>
    <xf numFmtId="10" fontId="8" fillId="0" borderId="5" xfId="1" applyNumberFormat="1" applyFont="1" applyBorder="1" applyAlignment="1">
      <alignment horizontal="center" vertical="center"/>
    </xf>
    <xf numFmtId="0" fontId="11" fillId="0" borderId="0" xfId="1" applyFont="1" applyBorder="1" applyAlignment="1">
      <alignment vertical="center"/>
    </xf>
    <xf numFmtId="0" fontId="8" fillId="0" borderId="0" xfId="1" applyFont="1" applyAlignment="1">
      <alignment wrapText="1"/>
    </xf>
    <xf numFmtId="0" fontId="8" fillId="0" borderId="105" xfId="1" applyFont="1" applyBorder="1" applyAlignment="1">
      <alignment horizontal="center" vertical="center" wrapText="1"/>
    </xf>
    <xf numFmtId="0" fontId="8" fillId="27" borderId="106" xfId="1" applyFont="1" applyFill="1" applyBorder="1" applyAlignment="1">
      <alignment horizontal="center" vertical="center" wrapText="1"/>
    </xf>
    <xf numFmtId="0" fontId="8" fillId="28" borderId="106" xfId="1" applyFont="1" applyFill="1" applyBorder="1" applyAlignment="1">
      <alignment horizontal="center" vertical="center" wrapText="1"/>
    </xf>
    <xf numFmtId="0" fontId="8" fillId="0" borderId="91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/>
    </xf>
    <xf numFmtId="0" fontId="8" fillId="26" borderId="92" xfId="1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17" borderId="7" xfId="1" applyFont="1" applyFill="1" applyBorder="1" applyAlignment="1">
      <alignment vertical="center"/>
    </xf>
    <xf numFmtId="0" fontId="8" fillId="0" borderId="86" xfId="1" applyFont="1" applyBorder="1" applyAlignment="1">
      <alignment vertical="center"/>
    </xf>
    <xf numFmtId="0" fontId="8" fillId="26" borderId="95" xfId="1" applyFont="1" applyFill="1" applyBorder="1" applyAlignment="1">
      <alignment vertical="center"/>
    </xf>
    <xf numFmtId="0" fontId="8" fillId="0" borderId="99" xfId="1" applyFont="1" applyBorder="1" applyAlignment="1">
      <alignment vertical="center"/>
    </xf>
    <xf numFmtId="0" fontId="8" fillId="12" borderId="26" xfId="1" applyFont="1" applyFill="1" applyBorder="1"/>
    <xf numFmtId="0" fontId="8" fillId="13" borderId="88" xfId="1" applyFont="1" applyFill="1" applyBorder="1" applyAlignment="1">
      <alignment vertical="center" wrapText="1"/>
    </xf>
    <xf numFmtId="10" fontId="8" fillId="0" borderId="88" xfId="1" applyNumberFormat="1" applyFont="1" applyBorder="1" applyAlignment="1">
      <alignment vertical="center"/>
    </xf>
    <xf numFmtId="0" fontId="8" fillId="0" borderId="38" xfId="1" applyFont="1" applyBorder="1" applyAlignment="1">
      <alignment vertical="center"/>
    </xf>
    <xf numFmtId="0" fontId="8" fillId="26" borderId="1" xfId="1" applyFont="1" applyFill="1" applyBorder="1" applyAlignment="1">
      <alignment vertical="center"/>
    </xf>
    <xf numFmtId="0" fontId="8" fillId="0" borderId="25" xfId="1" applyFont="1" applyBorder="1" applyAlignment="1">
      <alignment vertical="center"/>
    </xf>
    <xf numFmtId="0" fontId="8" fillId="12" borderId="7" xfId="1" applyFont="1" applyFill="1" applyBorder="1"/>
    <xf numFmtId="0" fontId="8" fillId="13" borderId="101" xfId="1" applyFont="1" applyFill="1" applyBorder="1" applyAlignment="1">
      <alignment vertical="center" wrapText="1"/>
    </xf>
    <xf numFmtId="10" fontId="8" fillId="0" borderId="89" xfId="1" applyNumberFormat="1" applyFont="1" applyBorder="1" applyAlignment="1">
      <alignment vertical="center"/>
    </xf>
    <xf numFmtId="0" fontId="8" fillId="17" borderId="79" xfId="1" applyFont="1" applyFill="1" applyBorder="1" applyAlignment="1">
      <alignment vertical="center"/>
    </xf>
    <xf numFmtId="0" fontId="8" fillId="17" borderId="8" xfId="1" applyFont="1" applyFill="1" applyBorder="1" applyAlignment="1">
      <alignment vertical="center"/>
    </xf>
    <xf numFmtId="0" fontId="8" fillId="0" borderId="85" xfId="1" applyFont="1" applyBorder="1" applyAlignment="1">
      <alignment vertical="center"/>
    </xf>
    <xf numFmtId="0" fontId="8" fillId="12" borderId="8" xfId="1" applyFont="1" applyFill="1" applyBorder="1"/>
    <xf numFmtId="0" fontId="8" fillId="13" borderId="102" xfId="1" applyFont="1" applyFill="1" applyBorder="1" applyAlignment="1">
      <alignment vertical="center" wrapText="1"/>
    </xf>
    <xf numFmtId="10" fontId="8" fillId="0" borderId="16" xfId="1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8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6" fillId="0" borderId="0" xfId="1" applyFont="1"/>
    <xf numFmtId="0" fontId="16" fillId="0" borderId="0" xfId="1" applyFont="1" applyAlignment="1">
      <alignment vertical="center"/>
    </xf>
    <xf numFmtId="0" fontId="16" fillId="0" borderId="52" xfId="1" applyFont="1" applyBorder="1" applyAlignment="1">
      <alignment horizontal="center"/>
    </xf>
    <xf numFmtId="0" fontId="16" fillId="19" borderId="70" xfId="1" applyFont="1" applyFill="1" applyBorder="1" applyAlignment="1">
      <alignment horizontal="center"/>
    </xf>
    <xf numFmtId="0" fontId="16" fillId="0" borderId="56" xfId="1" applyFont="1" applyBorder="1"/>
    <xf numFmtId="0" fontId="16" fillId="0" borderId="52" xfId="1" applyFont="1" applyBorder="1" applyAlignment="1">
      <alignment horizontal="center" vertical="center"/>
    </xf>
    <xf numFmtId="0" fontId="16" fillId="0" borderId="46" xfId="1" applyFont="1" applyBorder="1" applyAlignment="1">
      <alignment horizontal="center" vertical="center"/>
    </xf>
    <xf numFmtId="0" fontId="16" fillId="17" borderId="68" xfId="1" applyFont="1" applyFill="1" applyBorder="1" applyAlignment="1">
      <alignment vertical="center"/>
    </xf>
    <xf numFmtId="10" fontId="16" fillId="0" borderId="68" xfId="1" applyNumberFormat="1" applyFont="1" applyBorder="1"/>
    <xf numFmtId="10" fontId="16" fillId="0" borderId="94" xfId="1" applyNumberFormat="1" applyFont="1" applyBorder="1"/>
    <xf numFmtId="10" fontId="16" fillId="0" borderId="27" xfId="1" applyNumberFormat="1" applyFont="1" applyBorder="1"/>
    <xf numFmtId="10" fontId="16" fillId="0" borderId="28" xfId="1" applyNumberFormat="1" applyFont="1" applyBorder="1"/>
    <xf numFmtId="10" fontId="16" fillId="0" borderId="111" xfId="1" applyNumberFormat="1" applyFont="1" applyBorder="1"/>
    <xf numFmtId="10" fontId="16" fillId="0" borderId="47" xfId="1" applyNumberFormat="1" applyFont="1" applyBorder="1"/>
    <xf numFmtId="10" fontId="16" fillId="0" borderId="69" xfId="1" applyNumberFormat="1" applyFont="1" applyBorder="1"/>
    <xf numFmtId="0" fontId="16" fillId="17" borderId="48" xfId="1" applyFont="1" applyFill="1" applyBorder="1" applyAlignment="1">
      <alignment vertical="center"/>
    </xf>
    <xf numFmtId="10" fontId="16" fillId="0" borderId="29" xfId="1" applyNumberFormat="1" applyFont="1" applyBorder="1"/>
    <xf numFmtId="10" fontId="16" fillId="0" borderId="30" xfId="1" applyNumberFormat="1" applyFont="1" applyBorder="1"/>
    <xf numFmtId="0" fontId="16" fillId="17" borderId="49" xfId="1" applyFont="1" applyFill="1" applyBorder="1" applyAlignment="1">
      <alignment vertical="center"/>
    </xf>
    <xf numFmtId="10" fontId="16" fillId="0" borderId="51" xfId="1" applyNumberFormat="1" applyFont="1" applyBorder="1"/>
    <xf numFmtId="10" fontId="16" fillId="0" borderId="110" xfId="1" applyNumberFormat="1" applyFont="1" applyBorder="1"/>
    <xf numFmtId="10" fontId="16" fillId="0" borderId="31" xfId="1" applyNumberFormat="1" applyFont="1" applyBorder="1"/>
    <xf numFmtId="10" fontId="16" fillId="0" borderId="97" xfId="1" applyNumberFormat="1" applyFont="1" applyBorder="1"/>
    <xf numFmtId="10" fontId="16" fillId="0" borderId="63" xfId="1" applyNumberFormat="1" applyFont="1" applyBorder="1"/>
    <xf numFmtId="0" fontId="16" fillId="19" borderId="52" xfId="1" applyFont="1" applyFill="1" applyBorder="1" applyAlignment="1">
      <alignment horizontal="center"/>
    </xf>
    <xf numFmtId="10" fontId="16" fillId="0" borderId="49" xfId="1" applyNumberFormat="1" applyFont="1" applyBorder="1"/>
    <xf numFmtId="10" fontId="16" fillId="0" borderId="65" xfId="1" applyNumberFormat="1" applyFont="1" applyBorder="1"/>
    <xf numFmtId="0" fontId="16" fillId="0" borderId="43" xfId="1" applyFont="1" applyBorder="1"/>
    <xf numFmtId="0" fontId="16" fillId="0" borderId="0" xfId="1" applyFont="1" applyBorder="1"/>
    <xf numFmtId="0" fontId="16" fillId="17" borderId="52" xfId="1" applyFont="1" applyFill="1" applyBorder="1" applyAlignment="1">
      <alignment horizontal="center" vertical="center"/>
    </xf>
    <xf numFmtId="10" fontId="16" fillId="0" borderId="52" xfId="1" applyNumberFormat="1" applyFont="1" applyBorder="1"/>
    <xf numFmtId="0" fontId="16" fillId="0" borderId="0" xfId="1" applyFont="1" applyAlignment="1">
      <alignment horizontal="center" vertical="center"/>
    </xf>
    <xf numFmtId="0" fontId="16" fillId="19" borderId="45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19" xfId="1" applyFont="1" applyBorder="1"/>
    <xf numFmtId="0" fontId="9" fillId="0" borderId="11" xfId="1" applyFont="1" applyBorder="1"/>
    <xf numFmtId="0" fontId="0" fillId="0" borderId="93" xfId="0" applyBorder="1"/>
    <xf numFmtId="0" fontId="8" fillId="3" borderId="117" xfId="1" applyFont="1" applyFill="1" applyBorder="1"/>
    <xf numFmtId="0" fontId="8" fillId="25" borderId="118" xfId="1" applyFont="1" applyFill="1" applyBorder="1"/>
    <xf numFmtId="0" fontId="0" fillId="0" borderId="0" xfId="0"/>
    <xf numFmtId="0" fontId="5" fillId="0" borderId="3" xfId="0" applyFont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0" fillId="0" borderId="1" xfId="0" applyBorder="1"/>
    <xf numFmtId="0" fontId="15" fillId="8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7" borderId="79" xfId="0" applyFont="1" applyFill="1" applyBorder="1" applyAlignment="1">
      <alignment horizontal="center" vertical="center"/>
    </xf>
    <xf numFmtId="0" fontId="5" fillId="8" borderId="79" xfId="0" applyFont="1" applyFill="1" applyBorder="1" applyAlignment="1">
      <alignment horizontal="center" vertical="center"/>
    </xf>
    <xf numFmtId="0" fontId="8" fillId="26" borderId="96" xfId="1" applyFont="1" applyFill="1" applyBorder="1" applyAlignment="1">
      <alignment vertical="center"/>
    </xf>
    <xf numFmtId="0" fontId="8" fillId="0" borderId="120" xfId="1" applyFont="1" applyBorder="1"/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8" borderId="98" xfId="0" applyFont="1" applyFill="1" applyBorder="1" applyAlignment="1">
      <alignment horizontal="center" vertical="center"/>
    </xf>
    <xf numFmtId="0" fontId="5" fillId="8" borderId="8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5" fillId="8" borderId="98" xfId="0" applyFont="1" applyFill="1" applyBorder="1" applyAlignment="1">
      <alignment horizontal="center" vertical="center"/>
    </xf>
    <xf numFmtId="0" fontId="15" fillId="8" borderId="8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119" xfId="0" applyBorder="1"/>
    <xf numFmtId="0" fontId="5" fillId="8" borderId="13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5" fillId="8" borderId="116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8" borderId="8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18" borderId="103" xfId="0" applyFont="1" applyFill="1" applyBorder="1" applyAlignment="1">
      <alignment horizontal="center" vertical="center" wrapText="1"/>
    </xf>
    <xf numFmtId="0" fontId="4" fillId="18" borderId="104" xfId="0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8" fillId="18" borderId="3" xfId="1" applyFont="1" applyFill="1" applyBorder="1" applyAlignment="1">
      <alignment horizontal="center" vertical="center" wrapText="1"/>
    </xf>
    <xf numFmtId="0" fontId="8" fillId="18" borderId="12" xfId="1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center" vertical="center" wrapText="1"/>
    </xf>
    <xf numFmtId="0" fontId="4" fillId="18" borderId="8" xfId="0" applyFont="1" applyFill="1" applyBorder="1" applyAlignment="1">
      <alignment horizontal="center" vertical="center" wrapText="1"/>
    </xf>
    <xf numFmtId="0" fontId="4" fillId="17" borderId="26" xfId="0" applyFont="1" applyFill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95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8" fillId="0" borderId="29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53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8" fillId="0" borderId="98" xfId="1" applyFont="1" applyBorder="1" applyAlignment="1">
      <alignment horizontal="center" vertical="center"/>
    </xf>
    <xf numFmtId="0" fontId="8" fillId="0" borderId="88" xfId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0" fontId="8" fillId="18" borderId="11" xfId="1" applyFont="1" applyFill="1" applyBorder="1" applyAlignment="1">
      <alignment horizontal="center" vertical="center" wrapText="1"/>
    </xf>
    <xf numFmtId="0" fontId="9" fillId="10" borderId="3" xfId="1" applyFont="1" applyFill="1" applyBorder="1" applyAlignment="1">
      <alignment horizontal="center" vertical="center"/>
    </xf>
    <xf numFmtId="0" fontId="9" fillId="10" borderId="12" xfId="1" applyFont="1" applyFill="1" applyBorder="1" applyAlignment="1">
      <alignment horizontal="center" vertical="center"/>
    </xf>
    <xf numFmtId="0" fontId="9" fillId="15" borderId="3" xfId="1" applyFont="1" applyFill="1" applyBorder="1" applyAlignment="1">
      <alignment horizontal="center" vertical="center"/>
    </xf>
    <xf numFmtId="0" fontId="9" fillId="15" borderId="11" xfId="1" applyFont="1" applyFill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20" borderId="13" xfId="1" applyFont="1" applyFill="1" applyBorder="1" applyAlignment="1">
      <alignment horizontal="center" vertical="center"/>
    </xf>
    <xf numFmtId="0" fontId="9" fillId="20" borderId="36" xfId="1" applyFont="1" applyFill="1" applyBorder="1" applyAlignment="1">
      <alignment horizontal="center" vertical="center"/>
    </xf>
    <xf numFmtId="0" fontId="9" fillId="11" borderId="3" xfId="1" applyFont="1" applyFill="1" applyBorder="1" applyAlignment="1">
      <alignment horizontal="center" vertical="center"/>
    </xf>
    <xf numFmtId="0" fontId="9" fillId="11" borderId="11" xfId="1" applyFont="1" applyFill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20" borderId="3" xfId="1" applyFont="1" applyFill="1" applyBorder="1" applyAlignment="1">
      <alignment horizontal="center" vertical="center"/>
    </xf>
    <xf numFmtId="0" fontId="9" fillId="20" borderId="11" xfId="1" applyFont="1" applyFill="1" applyBorder="1" applyAlignment="1">
      <alignment horizontal="center" vertical="center"/>
    </xf>
    <xf numFmtId="0" fontId="9" fillId="20" borderId="9" xfId="1" applyFont="1" applyFill="1" applyBorder="1" applyAlignment="1">
      <alignment horizontal="center" vertical="center"/>
    </xf>
    <xf numFmtId="0" fontId="9" fillId="21" borderId="13" xfId="1" applyFont="1" applyFill="1" applyBorder="1" applyAlignment="1">
      <alignment horizontal="center"/>
    </xf>
    <xf numFmtId="0" fontId="9" fillId="21" borderId="14" xfId="1" applyFont="1" applyFill="1" applyBorder="1" applyAlignment="1">
      <alignment horizontal="center"/>
    </xf>
    <xf numFmtId="0" fontId="9" fillId="21" borderId="15" xfId="1" applyFont="1" applyFill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8" fillId="19" borderId="20" xfId="1" applyFont="1" applyFill="1" applyBorder="1" applyAlignment="1">
      <alignment horizontal="center"/>
    </xf>
    <xf numFmtId="0" fontId="8" fillId="19" borderId="4" xfId="1" applyFont="1" applyFill="1" applyBorder="1" applyAlignment="1">
      <alignment horizontal="center"/>
    </xf>
    <xf numFmtId="0" fontId="8" fillId="19" borderId="5" xfId="1" applyFont="1" applyFill="1" applyBorder="1" applyAlignment="1">
      <alignment horizontal="center"/>
    </xf>
    <xf numFmtId="0" fontId="9" fillId="0" borderId="13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20" borderId="26" xfId="1" applyFont="1" applyFill="1" applyBorder="1" applyAlignment="1">
      <alignment horizontal="center" vertical="center"/>
    </xf>
    <xf numFmtId="0" fontId="9" fillId="20" borderId="7" xfId="1" applyFont="1" applyFill="1" applyBorder="1" applyAlignment="1">
      <alignment horizontal="center" vertical="center"/>
    </xf>
    <xf numFmtId="0" fontId="8" fillId="0" borderId="13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8" fillId="0" borderId="60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/>
    </xf>
    <xf numFmtId="0" fontId="8" fillId="0" borderId="58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0" fontId="8" fillId="17" borderId="3" xfId="1" applyFont="1" applyFill="1" applyBorder="1" applyAlignment="1">
      <alignment horizontal="center" vertical="center" wrapText="1"/>
    </xf>
    <xf numFmtId="0" fontId="8" fillId="17" borderId="11" xfId="1" applyFont="1" applyFill="1" applyBorder="1" applyAlignment="1">
      <alignment horizontal="center" vertical="center" wrapText="1"/>
    </xf>
    <xf numFmtId="0" fontId="8" fillId="17" borderId="9" xfId="1" applyFont="1" applyFill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8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84" xfId="1" applyFont="1" applyBorder="1" applyAlignment="1">
      <alignment horizontal="center" vertical="center" wrapText="1"/>
    </xf>
    <xf numFmtId="0" fontId="8" fillId="0" borderId="86" xfId="1" applyFont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8" fillId="0" borderId="109" xfId="1" applyFont="1" applyBorder="1" applyAlignment="1">
      <alignment horizontal="center" vertical="center" wrapText="1"/>
    </xf>
    <xf numFmtId="0" fontId="8" fillId="0" borderId="59" xfId="1" applyFont="1" applyBorder="1" applyAlignment="1">
      <alignment horizontal="center" vertical="center" wrapText="1"/>
    </xf>
    <xf numFmtId="0" fontId="8" fillId="17" borderId="3" xfId="1" applyFont="1" applyFill="1" applyBorder="1" applyAlignment="1">
      <alignment horizontal="center" vertical="center"/>
    </xf>
    <xf numFmtId="0" fontId="8" fillId="17" borderId="11" xfId="1" applyFont="1" applyFill="1" applyBorder="1" applyAlignment="1">
      <alignment horizontal="center" vertical="center"/>
    </xf>
    <xf numFmtId="0" fontId="8" fillId="17" borderId="9" xfId="1" applyFont="1" applyFill="1" applyBorder="1" applyAlignment="1">
      <alignment horizontal="center" vertical="center"/>
    </xf>
    <xf numFmtId="0" fontId="8" fillId="0" borderId="80" xfId="1" applyFont="1" applyBorder="1" applyAlignment="1">
      <alignment horizontal="center" vertical="center"/>
    </xf>
    <xf numFmtId="0" fontId="8" fillId="0" borderId="81" xfId="1" applyFont="1" applyBorder="1" applyAlignment="1">
      <alignment horizontal="center" vertical="center"/>
    </xf>
    <xf numFmtId="0" fontId="8" fillId="0" borderId="82" xfId="1" applyFont="1" applyBorder="1" applyAlignment="1">
      <alignment horizontal="center" vertical="center"/>
    </xf>
    <xf numFmtId="0" fontId="8" fillId="0" borderId="90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9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16" fillId="17" borderId="3" xfId="1" applyFont="1" applyFill="1" applyBorder="1" applyAlignment="1">
      <alignment horizontal="center" vertical="center" wrapText="1"/>
    </xf>
    <xf numFmtId="0" fontId="16" fillId="17" borderId="12" xfId="1" applyFont="1" applyFill="1" applyBorder="1" applyAlignment="1">
      <alignment horizontal="center" vertical="center" wrapText="1"/>
    </xf>
    <xf numFmtId="10" fontId="16" fillId="0" borderId="13" xfId="1" applyNumberFormat="1" applyFont="1" applyBorder="1" applyAlignment="1">
      <alignment horizontal="center" vertical="center"/>
    </xf>
    <xf numFmtId="10" fontId="16" fillId="0" borderId="14" xfId="1" applyNumberFormat="1" applyFont="1" applyBorder="1" applyAlignment="1">
      <alignment horizontal="center" vertical="center"/>
    </xf>
    <xf numFmtId="10" fontId="16" fillId="0" borderId="15" xfId="1" applyNumberFormat="1" applyFont="1" applyBorder="1" applyAlignment="1">
      <alignment horizontal="center" vertical="center"/>
    </xf>
    <xf numFmtId="10" fontId="16" fillId="0" borderId="6" xfId="1" applyNumberFormat="1" applyFont="1" applyBorder="1" applyAlignment="1">
      <alignment horizontal="center" vertical="center"/>
    </xf>
    <xf numFmtId="10" fontId="16" fillId="0" borderId="10" xfId="1" applyNumberFormat="1" applyFont="1" applyBorder="1" applyAlignment="1">
      <alignment horizontal="center" vertical="center"/>
    </xf>
    <xf numFmtId="10" fontId="16" fillId="0" borderId="16" xfId="1" applyNumberFormat="1" applyFont="1" applyBorder="1" applyAlignment="1">
      <alignment horizontal="center" vertical="center"/>
    </xf>
    <xf numFmtId="0" fontId="16" fillId="0" borderId="52" xfId="1" applyFont="1" applyBorder="1" applyAlignment="1">
      <alignment horizontal="center" vertical="center" wrapText="1"/>
    </xf>
    <xf numFmtId="10" fontId="16" fillId="0" borderId="45" xfId="1" applyNumberFormat="1" applyFont="1" applyBorder="1" applyAlignment="1">
      <alignment horizontal="center" vertical="center"/>
    </xf>
    <xf numFmtId="10" fontId="16" fillId="0" borderId="46" xfId="1" applyNumberFormat="1" applyFont="1" applyBorder="1" applyAlignment="1">
      <alignment horizontal="center" vertical="center"/>
    </xf>
    <xf numFmtId="0" fontId="16" fillId="0" borderId="68" xfId="1" applyFont="1" applyBorder="1" applyAlignment="1">
      <alignment horizontal="center" wrapText="1"/>
    </xf>
    <xf numFmtId="0" fontId="16" fillId="0" borderId="49" xfId="1" applyFont="1" applyBorder="1" applyAlignment="1">
      <alignment horizontal="center" wrapText="1"/>
    </xf>
    <xf numFmtId="0" fontId="16" fillId="0" borderId="66" xfId="1" applyFont="1" applyBorder="1" applyAlignment="1">
      <alignment horizontal="center" vertical="center"/>
    </xf>
    <xf numFmtId="0" fontId="16" fillId="0" borderId="67" xfId="1" applyFont="1" applyBorder="1" applyAlignment="1">
      <alignment horizontal="center" vertical="center"/>
    </xf>
    <xf numFmtId="0" fontId="16" fillId="0" borderId="70" xfId="1" applyFont="1" applyBorder="1" applyAlignment="1">
      <alignment horizontal="center"/>
    </xf>
    <xf numFmtId="0" fontId="16" fillId="0" borderId="64" xfId="1" applyFont="1" applyBorder="1" applyAlignment="1">
      <alignment horizontal="center"/>
    </xf>
    <xf numFmtId="0" fontId="16" fillId="0" borderId="47" xfId="1" applyFont="1" applyBorder="1" applyAlignment="1">
      <alignment horizontal="center" vertical="center" wrapText="1"/>
    </xf>
    <xf numFmtId="0" fontId="16" fillId="0" borderId="49" xfId="1" applyFont="1" applyBorder="1" applyAlignment="1">
      <alignment horizontal="center" vertical="center" wrapText="1"/>
    </xf>
    <xf numFmtId="0" fontId="16" fillId="0" borderId="47" xfId="1" applyFont="1" applyBorder="1" applyAlignment="1">
      <alignment horizontal="center" wrapText="1"/>
    </xf>
    <xf numFmtId="0" fontId="16" fillId="0" borderId="78" xfId="1" applyFont="1" applyBorder="1" applyAlignment="1">
      <alignment horizontal="center" wrapText="1"/>
    </xf>
    <xf numFmtId="0" fontId="16" fillId="0" borderId="50" xfId="1" applyFont="1" applyBorder="1" applyAlignment="1">
      <alignment horizontal="center" vertical="center"/>
    </xf>
    <xf numFmtId="0" fontId="16" fillId="0" borderId="51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/>
    </xf>
    <xf numFmtId="0" fontId="16" fillId="0" borderId="76" xfId="1" applyFont="1" applyBorder="1" applyAlignment="1">
      <alignment horizontal="center"/>
    </xf>
    <xf numFmtId="0" fontId="16" fillId="0" borderId="77" xfId="1" applyFont="1" applyBorder="1" applyAlignment="1">
      <alignment horizontal="center"/>
    </xf>
  </cellXfs>
  <cellStyles count="2">
    <cellStyle name="Normal" xfId="0" builtinId="0"/>
    <cellStyle name="Normal 2" xfId="1" xr:uid="{8529265D-5CEC-4A39-A321-B68AACA7338D}"/>
  </cellStyles>
  <dxfs count="460">
    <dxf>
      <font>
        <b/>
        <i/>
      </font>
      <fill>
        <patternFill>
          <bgColor theme="2" tint="-9.9948118533890809E-2"/>
        </patternFill>
      </fill>
      <border>
        <vertical/>
        <horizontal/>
      </border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b/>
        <i/>
      </font>
      <fill>
        <patternFill>
          <bgColor theme="2" tint="-9.9948118533890809E-2"/>
        </patternFill>
      </fill>
      <border>
        <vertical/>
        <horizontal/>
      </border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mruColors>
      <color rgb="FF7DD986"/>
      <color rgb="FF99FFCC"/>
      <color rgb="FF56CAB4"/>
      <color rgb="FF79D5C3"/>
      <color rgb="FFFFFF99"/>
      <color rgb="FF66FF66"/>
      <color rgb="FFCCFFFF"/>
      <color rgb="FFFF8989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styles" Target="styles.xml"/>
  <Relationship Id="rId11" Type="http://schemas.openxmlformats.org/officeDocument/2006/relationships/sharedStrings" Target="sharedStrings.xml"/>
  <Relationship Id="rId12" Type="http://schemas.openxmlformats.org/officeDocument/2006/relationships/calcChain" Target="calcChain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theme" Target="theme/theme1.xml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5</xdr:row>
      <xdr:rowOff>104775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F9FC753-E781-43D6-A18C-9763BAE38F94}"/>
            </a:ext>
          </a:extLst>
        </xdr:cNvPr>
        <xdr:cNvSpPr txBox="1"/>
      </xdr:nvSpPr>
      <xdr:spPr>
        <a:xfrm>
          <a:off x="8763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  <Relationship Id="rId2" Type="http://schemas.openxmlformats.org/officeDocument/2006/relationships/drawing" Target="../drawings/drawing1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7BFA-9522-4221-83D1-A0D73A1E4105}">
  <dimension ref="B1:AV113"/>
  <sheetViews>
    <sheetView zoomScaleNormal="100" workbookViewId="0">
      <selection activeCell="C27" sqref="C27"/>
    </sheetView>
  </sheetViews>
  <sheetFormatPr baseColWidth="10" defaultRowHeight="14.1" customHeight="1" x14ac:dyDescent="0.25"/>
  <cols>
    <col min="1" max="1" style="224" width="11.42578125" collapsed="true"/>
    <col min="2" max="2" customWidth="true" style="224" width="18.28515625" collapsed="true"/>
    <col min="3" max="16384" style="224" width="11.42578125" collapsed="true"/>
  </cols>
  <sheetData>
    <row r="1" spans="2:18" s="4" customFormat="1" ht="30" customHeight="1" thickBot="1" x14ac:dyDescent="0.3">
      <c r="B1" s="217" t="s">
        <v>4</v>
      </c>
      <c r="C1" t="s">
        <v>190</v>
      </c>
      <c r="D1" s="277"/>
      <c r="E1" s="216"/>
      <c r="F1" s="216"/>
      <c r="G1" s="217" t="s">
        <v>6</v>
      </c>
      <c r="H1" t="s">
        <v>168</v>
      </c>
      <c r="I1" s="277"/>
    </row>
    <row r="2" spans="2:18" ht="33" customHeight="1" thickBot="1" x14ac:dyDescent="0.3"/>
    <row r="3" spans="2:18" s="177" customFormat="1" ht="24.95" customHeight="1" thickBot="1" x14ac:dyDescent="0.3">
      <c r="B3" s="260" t="s">
        <v>5</v>
      </c>
      <c r="C3" s="244" t="s">
        <v>106</v>
      </c>
      <c r="D3" s="245"/>
      <c r="E3" s="245"/>
      <c r="F3" s="246"/>
      <c r="G3" s="253" t="s">
        <v>105</v>
      </c>
      <c r="H3" s="254"/>
      <c r="I3" s="254"/>
      <c r="J3" s="254"/>
      <c r="K3" s="254"/>
      <c r="L3" s="254"/>
      <c r="M3" s="254"/>
      <c r="N3" s="255"/>
      <c r="O3" s="286" t="s">
        <v>113</v>
      </c>
      <c r="P3" s="287"/>
      <c r="Q3" s="278" t="s">
        <v>130</v>
      </c>
      <c r="R3" s="279"/>
    </row>
    <row r="4" spans="2:18" s="177" customFormat="1" ht="24.95" customHeight="1" thickBot="1" x14ac:dyDescent="0.3">
      <c r="B4" s="261"/>
      <c r="C4" s="247"/>
      <c r="D4" s="248"/>
      <c r="E4" s="248"/>
      <c r="F4" s="249"/>
      <c r="G4" s="284" t="s">
        <v>37</v>
      </c>
      <c r="H4" s="285"/>
      <c r="I4" s="284" t="s">
        <v>36</v>
      </c>
      <c r="J4" s="285"/>
      <c r="K4" s="284" t="s">
        <v>35</v>
      </c>
      <c r="L4" s="285"/>
      <c r="M4" s="284" t="s">
        <v>34</v>
      </c>
      <c r="N4" s="285"/>
      <c r="O4" s="288"/>
      <c r="P4" s="289"/>
      <c r="Q4" s="280"/>
      <c r="R4" s="281"/>
    </row>
    <row r="5" spans="2:18" s="177" customFormat="1" ht="24.95" customHeight="1" x14ac:dyDescent="0.25">
      <c r="B5" s="262"/>
      <c r="C5" s="225" t="s">
        <v>37</v>
      </c>
      <c r="D5" s="225" t="s">
        <v>36</v>
      </c>
      <c r="E5" s="225" t="s">
        <v>35</v>
      </c>
      <c r="F5" s="225" t="s">
        <v>34</v>
      </c>
      <c r="G5" s="226" t="s">
        <v>23</v>
      </c>
      <c r="H5" s="227" t="s">
        <v>24</v>
      </c>
      <c r="I5" s="226" t="s">
        <v>23</v>
      </c>
      <c r="J5" s="227" t="s">
        <v>24</v>
      </c>
      <c r="K5" s="226" t="s">
        <v>23</v>
      </c>
      <c r="L5" s="227" t="s">
        <v>24</v>
      </c>
      <c r="M5" s="226" t="s">
        <v>23</v>
      </c>
      <c r="N5" s="227" t="s">
        <v>24</v>
      </c>
      <c r="O5" s="228" t="s">
        <v>20</v>
      </c>
      <c r="P5" s="229" t="s">
        <v>21</v>
      </c>
      <c r="Q5" s="282"/>
      <c r="R5" s="283"/>
    </row>
    <row r="6" spans="2:18" ht="14.1" customHeight="1" x14ac:dyDescent="0.25">
      <c r="B6" t="s">
        <v>131</v>
      </c>
      <c r="C6" t="n">
        <v>3.0</v>
      </c>
      <c r="D6" t="n">
        <v>3.0</v>
      </c>
      <c r="E6" t="n">
        <v>3.0</v>
      </c>
      <c r="F6" t="n">
        <v>4.0</v>
      </c>
      <c r="G6" t="n">
        <v>346.6666666666667</v>
      </c>
      <c r="H6" t="n">
        <v>4.666666666666667</v>
      </c>
      <c r="I6" t="n">
        <v>246.66666666666666</v>
      </c>
      <c r="J6" t="n">
        <v>4.333333333333333</v>
      </c>
      <c r="K6" t="n">
        <v>160.0</v>
      </c>
      <c r="L6" t="n">
        <v>4.0</v>
      </c>
      <c r="M6" t="n">
        <v>255.0</v>
      </c>
      <c r="N6" t="n">
        <v>3.75</v>
      </c>
      <c r="O6" t="n">
        <v>19.0</v>
      </c>
      <c r="P6" t="n">
        <v>9.4</v>
      </c>
      <c r="Q6" t="s">
        <v>0</v>
      </c>
      <c r="R6" s="277"/>
    </row>
    <row r="7" spans="2:18" ht="14.1" customHeight="1" x14ac:dyDescent="0.25">
      <c r="B7" t="s">
        <v>132</v>
      </c>
      <c r="C7" t="n">
        <v>1.0</v>
      </c>
      <c r="D7" t="n">
        <v>1.0</v>
      </c>
      <c r="E7" t="n">
        <v>1.0</v>
      </c>
      <c r="F7" t="n">
        <v>1.0</v>
      </c>
      <c r="G7" t="n">
        <v>66.66666666666667</v>
      </c>
      <c r="H7" t="n">
        <v>5.0</v>
      </c>
      <c r="I7" t="n">
        <v>110.0</v>
      </c>
      <c r="J7" t="n">
        <v>5.666666666666667</v>
      </c>
      <c r="K7" t="n">
        <v>190.0</v>
      </c>
      <c r="L7" t="n">
        <v>2.6666666666666665</v>
      </c>
      <c r="M7" t="n">
        <v>20.0</v>
      </c>
      <c r="N7" t="n">
        <v>5.25</v>
      </c>
      <c r="O7" t="n">
        <v>20.5</v>
      </c>
      <c r="P7" t="n">
        <v>8.0</v>
      </c>
      <c r="Q7" t="s">
        <v>0</v>
      </c>
      <c r="R7" s="277"/>
    </row>
    <row r="8" spans="2:18" ht="14.1" customHeight="1" x14ac:dyDescent="0.25">
      <c r="B8" t="s">
        <v>133</v>
      </c>
      <c r="C8" t="n">
        <v>1.0</v>
      </c>
      <c r="D8" t="n">
        <v>2.0</v>
      </c>
      <c r="E8" t="n">
        <v>2.0</v>
      </c>
      <c r="F8" t="n">
        <v>2.0</v>
      </c>
      <c r="G8" t="n">
        <v>106.66666666666667</v>
      </c>
      <c r="H8" t="n">
        <v>3.3333333333333335</v>
      </c>
      <c r="I8" t="n">
        <v>80.0</v>
      </c>
      <c r="J8" t="n">
        <v>2.3333333333333335</v>
      </c>
      <c r="K8" t="n">
        <v>36.666666666666664</v>
      </c>
      <c r="L8" t="n">
        <v>5.0</v>
      </c>
      <c r="M8" t="n">
        <v>20.0</v>
      </c>
      <c r="N8" t="n">
        <v>11.0</v>
      </c>
      <c r="O8" t="n">
        <v>18.4</v>
      </c>
      <c r="P8" t="n">
        <v>8.9</v>
      </c>
      <c r="Q8" t="s">
        <v>0</v>
      </c>
      <c r="R8" s="277"/>
    </row>
    <row r="9" spans="2:18" ht="14.1" customHeight="1" x14ac:dyDescent="0.25">
      <c r="B9" t="s">
        <v>134</v>
      </c>
      <c r="C9" t="n">
        <v>1.0</v>
      </c>
      <c r="D9" t="n">
        <v>1.0</v>
      </c>
      <c r="E9" t="n">
        <v>1.0</v>
      </c>
      <c r="F9" t="n">
        <v>2.0</v>
      </c>
      <c r="G9" t="n">
        <v>76.66666666666667</v>
      </c>
      <c r="H9" t="n">
        <v>2.6666666666666665</v>
      </c>
      <c r="I9" t="n">
        <v>96.66666666666667</v>
      </c>
      <c r="J9" t="n">
        <v>4.333333333333333</v>
      </c>
      <c r="K9" t="n">
        <v>133.33333333333334</v>
      </c>
      <c r="L9" t="n">
        <v>3.0</v>
      </c>
      <c r="M9" t="n">
        <v>15.0</v>
      </c>
      <c r="N9" t="n">
        <v>6.75</v>
      </c>
      <c r="O9" t="n">
        <v>19.5</v>
      </c>
      <c r="P9" t="n">
        <v>6.8</v>
      </c>
      <c r="Q9" t="s">
        <v>0</v>
      </c>
      <c r="R9" s="277"/>
    </row>
    <row r="10" spans="2:18" ht="14.1" customHeight="1" x14ac:dyDescent="0.25">
      <c r="B10" t="s">
        <v>135</v>
      </c>
      <c r="C10" t="n">
        <v>1.0</v>
      </c>
      <c r="D10" t="n">
        <v>1.0</v>
      </c>
      <c r="E10" t="n">
        <v>1.0</v>
      </c>
      <c r="F10" t="n">
        <v>1.0</v>
      </c>
      <c r="G10" t="n">
        <v>113.33333333333333</v>
      </c>
      <c r="H10" t="n">
        <v>6.0</v>
      </c>
      <c r="I10" t="n">
        <v>156.66666666666666</v>
      </c>
      <c r="J10" t="n">
        <v>4.333333333333333</v>
      </c>
      <c r="K10" t="n">
        <v>213.33333333333334</v>
      </c>
      <c r="L10" t="n">
        <v>4.333333333333333</v>
      </c>
      <c r="M10" t="n">
        <v>287.5</v>
      </c>
      <c r="N10" t="n">
        <v>5.25</v>
      </c>
      <c r="O10" t="n">
        <v>19.3</v>
      </c>
      <c r="P10" t="n">
        <v>9.0</v>
      </c>
      <c r="Q10" t="s">
        <v>0</v>
      </c>
      <c r="R10" s="277"/>
    </row>
    <row r="11" spans="2:18" ht="14.1" customHeight="1" x14ac:dyDescent="0.25">
      <c r="B11" t="s">
        <v>136</v>
      </c>
      <c r="C11" t="n">
        <v>1.0</v>
      </c>
      <c r="D11" t="n">
        <v>1.0</v>
      </c>
      <c r="E11" t="n">
        <v>1.0</v>
      </c>
      <c r="F11" t="n">
        <v>1.0</v>
      </c>
      <c r="G11" t="n">
        <v>116.66666666666667</v>
      </c>
      <c r="H11" t="n">
        <v>4.666666666666667</v>
      </c>
      <c r="I11" t="n">
        <v>150.0</v>
      </c>
      <c r="J11" t="n">
        <v>4.0</v>
      </c>
      <c r="K11" t="n">
        <v>226.66666666666666</v>
      </c>
      <c r="L11" t="n">
        <v>4.666666666666667</v>
      </c>
      <c r="M11" t="n">
        <v>272.5</v>
      </c>
      <c r="N11" t="n">
        <v>4.75</v>
      </c>
      <c r="O11" t="n">
        <v>18.1</v>
      </c>
      <c r="P11" t="n">
        <v>2.2</v>
      </c>
      <c r="Q11" t="s">
        <v>0</v>
      </c>
      <c r="R11" s="277"/>
    </row>
    <row r="12" spans="2:18" ht="14.1" customHeight="1" x14ac:dyDescent="0.25">
      <c r="B12" t="s">
        <v>137</v>
      </c>
      <c r="C12" t="n">
        <v>1.0</v>
      </c>
      <c r="D12" t="n">
        <v>1.0</v>
      </c>
      <c r="E12" t="n">
        <v>1.0</v>
      </c>
      <c r="F12" t="n">
        <v>1.0</v>
      </c>
      <c r="G12" t="n">
        <v>143.33333333333334</v>
      </c>
      <c r="H12" t="n">
        <v>5.666666666666667</v>
      </c>
      <c r="I12" t="n">
        <v>150.0</v>
      </c>
      <c r="J12" t="n">
        <v>5.0</v>
      </c>
      <c r="K12" t="n">
        <v>316.6666666666667</v>
      </c>
      <c r="L12" t="n">
        <v>4.333333333333333</v>
      </c>
      <c r="M12" t="n">
        <v>236.66666666666666</v>
      </c>
      <c r="N12" t="n">
        <v>4.0</v>
      </c>
      <c r="O12" t="n">
        <v>18.4</v>
      </c>
      <c r="P12" t="n">
        <v>7.0</v>
      </c>
      <c r="Q12" t="s">
        <v>0</v>
      </c>
      <c r="R12" s="277"/>
    </row>
    <row r="13" spans="2:18" ht="14.1" customHeight="1" x14ac:dyDescent="0.25">
      <c r="B13" t="s">
        <v>138</v>
      </c>
      <c r="C13" t="n">
        <v>1.0</v>
      </c>
      <c r="D13" t="n">
        <v>1.0</v>
      </c>
      <c r="E13" t="n">
        <v>1.0</v>
      </c>
      <c r="F13" t="n">
        <v>1.0</v>
      </c>
      <c r="G13" t="n">
        <v>116.66666666666667</v>
      </c>
      <c r="H13" t="n">
        <v>5.0</v>
      </c>
      <c r="I13" t="n">
        <v>156.66666666666666</v>
      </c>
      <c r="J13" t="n">
        <v>5.0</v>
      </c>
      <c r="K13" t="n">
        <v>223.33333333333334</v>
      </c>
      <c r="L13" t="n">
        <v>6.0</v>
      </c>
      <c r="M13" t="n">
        <v>295.0</v>
      </c>
      <c r="N13" t="n">
        <v>6.5</v>
      </c>
      <c r="O13" t="n">
        <v>17.7</v>
      </c>
      <c r="P13" t="n">
        <v>6.1</v>
      </c>
      <c r="Q13" t="s">
        <v>0</v>
      </c>
      <c r="R13" s="277"/>
    </row>
    <row r="14" spans="2:18" ht="14.1" customHeight="1" x14ac:dyDescent="0.25">
      <c r="B14" t="s">
        <v>139</v>
      </c>
      <c r="C14" t="n">
        <v>1.0</v>
      </c>
      <c r="D14" t="n">
        <v>2.0</v>
      </c>
      <c r="E14" t="n">
        <v>3.0</v>
      </c>
      <c r="F14" t="n">
        <v>2.0</v>
      </c>
      <c r="G14" t="n">
        <v>76.66666666666667</v>
      </c>
      <c r="H14" t="n">
        <v>3.6666666666666665</v>
      </c>
      <c r="I14" t="n">
        <v>130.0</v>
      </c>
      <c r="J14" t="n">
        <v>4.0</v>
      </c>
      <c r="K14" t="n">
        <v>243.33333333333334</v>
      </c>
      <c r="L14" t="n">
        <v>6.0</v>
      </c>
      <c r="M14" t="n">
        <v>20.0</v>
      </c>
      <c r="N14" t="n">
        <v>7.5</v>
      </c>
      <c r="O14" t="n">
        <v>16.9</v>
      </c>
      <c r="P14" t="n">
        <v>6.8</v>
      </c>
      <c r="Q14" t="s">
        <v>0</v>
      </c>
      <c r="R14" s="277"/>
    </row>
    <row r="15" spans="2:18" ht="14.1" customHeight="1" x14ac:dyDescent="0.25">
      <c r="B15" t="s">
        <v>140</v>
      </c>
      <c r="C15" t="n">
        <v>1.0</v>
      </c>
      <c r="D15" t="n">
        <v>1.0</v>
      </c>
      <c r="E15" t="n">
        <v>1.0</v>
      </c>
      <c r="F15" t="n">
        <v>1.0</v>
      </c>
      <c r="G15" t="n">
        <v>46.666666666666664</v>
      </c>
      <c r="H15" t="n">
        <v>4.333333333333333</v>
      </c>
      <c r="I15" t="n">
        <v>50.0</v>
      </c>
      <c r="J15" t="n">
        <v>4.333333333333333</v>
      </c>
      <c r="K15" t="n">
        <v>20.0</v>
      </c>
      <c r="L15" t="n">
        <v>5.333333333333333</v>
      </c>
      <c r="M15" t="n">
        <v>25.0</v>
      </c>
      <c r="N15" t="n">
        <v>8.5</v>
      </c>
      <c r="O15" t="n">
        <v>19.4</v>
      </c>
      <c r="P15" t="n">
        <v>6.9</v>
      </c>
      <c r="Q15" t="s">
        <v>0</v>
      </c>
      <c r="R15" s="277"/>
    </row>
    <row r="16" spans="2:18" ht="14.1" customHeight="1" x14ac:dyDescent="0.25">
      <c r="B16" t="s">
        <v>141</v>
      </c>
      <c r="C16" t="n">
        <v>3.0</v>
      </c>
      <c r="D16" t="n">
        <v>2.0</v>
      </c>
      <c r="E16" t="n">
        <v>2.0</v>
      </c>
      <c r="F16" t="n">
        <v>2.0</v>
      </c>
      <c r="G16" t="n">
        <v>30.0</v>
      </c>
      <c r="H16" t="n">
        <v>9.333333333333334</v>
      </c>
      <c r="I16" t="n">
        <v>36.666666666666664</v>
      </c>
      <c r="J16" t="n">
        <v>10.666666666666666</v>
      </c>
      <c r="K16" t="n">
        <v>33.333333333333336</v>
      </c>
      <c r="L16" t="n">
        <v>10.333333333333334</v>
      </c>
      <c r="M16" t="n">
        <v>30.0</v>
      </c>
      <c r="N16" t="n">
        <v>10.0</v>
      </c>
      <c r="O16" t="n">
        <v>15.7</v>
      </c>
      <c r="P16" t="n">
        <v>7.0</v>
      </c>
      <c r="Q16" t="s">
        <v>169</v>
      </c>
      <c r="R16" s="277"/>
    </row>
    <row r="17" spans="2:18" ht="14.1" customHeight="1" x14ac:dyDescent="0.25">
      <c r="B17" t="s">
        <v>142</v>
      </c>
      <c r="C17" t="n">
        <v>3.0</v>
      </c>
      <c r="D17" t="n">
        <v>1.0</v>
      </c>
      <c r="E17" t="n">
        <v>1.0</v>
      </c>
      <c r="F17" t="n">
        <v>2.0</v>
      </c>
      <c r="G17" t="n">
        <v>46.666666666666664</v>
      </c>
      <c r="H17" t="n">
        <v>7.666666666666667</v>
      </c>
      <c r="I17" t="n">
        <v>46.666666666666664</v>
      </c>
      <c r="J17" t="n">
        <v>9.666666666666666</v>
      </c>
      <c r="K17" t="n">
        <v>43.333333333333336</v>
      </c>
      <c r="L17" t="n">
        <v>7.0</v>
      </c>
      <c r="M17" t="n">
        <v>32.5</v>
      </c>
      <c r="N17" t="n">
        <v>10.75</v>
      </c>
      <c r="O17" t="n">
        <v>15.1</v>
      </c>
      <c r="P17" t="n">
        <v>8.1</v>
      </c>
      <c r="Q17" t="s">
        <v>0</v>
      </c>
      <c r="R17" s="277"/>
    </row>
    <row r="18" spans="2:18" ht="14.1" customHeight="1" x14ac:dyDescent="0.25">
      <c r="B18" t="s">
        <v>143</v>
      </c>
      <c r="C18" t="n">
        <v>1.0</v>
      </c>
      <c r="D18" t="n">
        <v>1.0</v>
      </c>
      <c r="E18" t="n">
        <v>1.0</v>
      </c>
      <c r="F18" t="n">
        <v>1.0</v>
      </c>
      <c r="G18" t="n">
        <v>63.333333333333336</v>
      </c>
      <c r="H18" t="n">
        <v>4.0</v>
      </c>
      <c r="I18" t="n">
        <v>10.0</v>
      </c>
      <c r="J18" t="n">
        <v>6.666666666666667</v>
      </c>
      <c r="K18" t="n">
        <v>23.333333333333332</v>
      </c>
      <c r="L18" t="n">
        <v>7.666666666666667</v>
      </c>
      <c r="M18" t="n">
        <v>15.0</v>
      </c>
      <c r="N18" t="n">
        <v>8.75</v>
      </c>
      <c r="O18" t="n">
        <v>18.3</v>
      </c>
      <c r="P18" t="n">
        <v>5.8</v>
      </c>
      <c r="Q18" t="s">
        <v>0</v>
      </c>
      <c r="R18" s="277"/>
    </row>
    <row r="19" spans="2:18" ht="14.1" customHeight="1" x14ac:dyDescent="0.25">
      <c r="B19" t="s">
        <v>144</v>
      </c>
      <c r="C19" t="n">
        <v>1.0</v>
      </c>
      <c r="D19" t="n">
        <v>1.0</v>
      </c>
      <c r="E19" t="n">
        <v>1.0</v>
      </c>
      <c r="F19" t="n">
        <v>1.0</v>
      </c>
      <c r="G19" t="n">
        <v>83.33333333333333</v>
      </c>
      <c r="H19" t="n">
        <v>3.3333333333333335</v>
      </c>
      <c r="I19" t="n">
        <v>110.0</v>
      </c>
      <c r="J19" t="n">
        <v>3.3333333333333335</v>
      </c>
      <c r="K19" t="n">
        <v>176.66666666666666</v>
      </c>
      <c r="L19" t="n">
        <v>3.0</v>
      </c>
      <c r="M19" t="n">
        <v>100.0</v>
      </c>
      <c r="N19" t="n">
        <v>5.0</v>
      </c>
      <c r="O19" t="n">
        <v>19.6</v>
      </c>
      <c r="P19" t="n">
        <v>5.1</v>
      </c>
      <c r="Q19" t="s">
        <v>0</v>
      </c>
      <c r="R19" s="277"/>
    </row>
    <row r="20" spans="2:18" ht="14.1" customHeight="1" x14ac:dyDescent="0.25">
      <c r="B20" t="s">
        <v>145</v>
      </c>
      <c r="C20" t="n">
        <v>1.0</v>
      </c>
      <c r="D20" t="n">
        <v>1.0</v>
      </c>
      <c r="E20" t="n">
        <v>1.0</v>
      </c>
      <c r="F20" t="n">
        <v>1.0</v>
      </c>
      <c r="G20" t="n">
        <v>100.0</v>
      </c>
      <c r="H20" t="n">
        <v>3.3333333333333335</v>
      </c>
      <c r="I20" t="n">
        <v>200.0</v>
      </c>
      <c r="J20" t="n">
        <v>2.0</v>
      </c>
      <c r="K20" t="n">
        <v>240.0</v>
      </c>
      <c r="L20" t="n">
        <v>4.666666666666667</v>
      </c>
      <c r="M20" t="n">
        <v>235.0</v>
      </c>
      <c r="N20" t="n">
        <v>8.5</v>
      </c>
      <c r="O20" t="n">
        <v>19.4</v>
      </c>
      <c r="P20" t="n">
        <v>7.8</v>
      </c>
      <c r="Q20" t="s">
        <v>0</v>
      </c>
      <c r="R20" s="277"/>
    </row>
    <row r="21" spans="2:18" ht="14.1" customHeight="1" x14ac:dyDescent="0.25">
      <c r="B21" t="s">
        <v>146</v>
      </c>
      <c r="C21" t="n">
        <v>3.0</v>
      </c>
      <c r="D21" t="n">
        <v>1.0</v>
      </c>
      <c r="E21" t="n">
        <v>2.0</v>
      </c>
      <c r="F21" t="n">
        <v>2.0</v>
      </c>
      <c r="G21" t="n">
        <v>36.666666666666664</v>
      </c>
      <c r="H21" t="n">
        <v>9.333333333333334</v>
      </c>
      <c r="I21" t="n">
        <v>50.0</v>
      </c>
      <c r="J21" t="n">
        <v>8.0</v>
      </c>
      <c r="K21" t="n">
        <v>16.666666666666668</v>
      </c>
      <c r="L21" t="n">
        <v>10.0</v>
      </c>
      <c r="M21" t="n">
        <v>102.5</v>
      </c>
      <c r="N21" t="n">
        <v>7.25</v>
      </c>
      <c r="O21" t="n">
        <v>15.2</v>
      </c>
      <c r="P21" t="n">
        <v>4.9</v>
      </c>
      <c r="Q21" t="s">
        <v>169</v>
      </c>
      <c r="R21" s="277"/>
    </row>
    <row r="22" spans="2:18" ht="14.1" customHeight="1" x14ac:dyDescent="0.25">
      <c r="B22" t="s">
        <v>147</v>
      </c>
      <c r="C22" t="n">
        <v>2.0</v>
      </c>
      <c r="D22" t="n">
        <v>1.0</v>
      </c>
      <c r="E22" t="n">
        <v>2.0</v>
      </c>
      <c r="F22" t="n">
        <v>3.0</v>
      </c>
      <c r="G22" t="n">
        <v>26.666666666666668</v>
      </c>
      <c r="H22" t="n">
        <v>5.0</v>
      </c>
      <c r="I22" t="n">
        <v>333.3333333333333</v>
      </c>
      <c r="J22" t="n">
        <v>3.0</v>
      </c>
      <c r="K22" t="n">
        <v>293.3333333333333</v>
      </c>
      <c r="L22" t="n">
        <v>8.0</v>
      </c>
      <c r="M22" t="n">
        <v>282.5</v>
      </c>
      <c r="N22" t="n">
        <v>9.75</v>
      </c>
      <c r="O22" t="n">
        <v>14.5</v>
      </c>
      <c r="P22" t="n">
        <v>4.3</v>
      </c>
      <c r="Q22" t="s">
        <v>0</v>
      </c>
      <c r="R22" s="277"/>
    </row>
    <row r="23" spans="2:18" ht="14.1" customHeight="1" x14ac:dyDescent="0.25">
      <c r="B23" t="s">
        <v>148</v>
      </c>
      <c r="C23" t="n">
        <v>4.0</v>
      </c>
      <c r="D23" t="n">
        <v>3.0</v>
      </c>
      <c r="E23" t="n">
        <v>4.0</v>
      </c>
      <c r="F23" t="n">
        <v>3.0</v>
      </c>
      <c r="G23" t="n">
        <v>246.66666666666666</v>
      </c>
      <c r="H23" t="n">
        <v>8.666666666666666</v>
      </c>
      <c r="I23" t="n">
        <v>326.6666666666667</v>
      </c>
      <c r="J23" t="n">
        <v>11.333333333333334</v>
      </c>
      <c r="K23" t="n">
        <v>330.0</v>
      </c>
      <c r="L23" t="n">
        <v>12.0</v>
      </c>
      <c r="M23" t="n">
        <v>272.5</v>
      </c>
      <c r="N23" t="n">
        <v>10.5</v>
      </c>
      <c r="O23" t="n">
        <v>12.6</v>
      </c>
      <c r="P23" t="n">
        <v>8.4</v>
      </c>
      <c r="Q23" t="s">
        <v>184</v>
      </c>
      <c r="R23" s="277"/>
    </row>
    <row r="24" spans="2:18" ht="14.1" customHeight="1" x14ac:dyDescent="0.25">
      <c r="B24" t="s">
        <v>149</v>
      </c>
      <c r="C24" t="n">
        <v>1.0</v>
      </c>
      <c r="D24" t="n">
        <v>1.0</v>
      </c>
      <c r="E24" t="n">
        <v>1.0</v>
      </c>
      <c r="F24" t="n">
        <v>1.0</v>
      </c>
      <c r="G24" t="n">
        <v>50.0</v>
      </c>
      <c r="H24" t="n">
        <v>6.666666666666667</v>
      </c>
      <c r="I24" t="n">
        <v>50.0</v>
      </c>
      <c r="J24" t="n">
        <v>9.333333333333334</v>
      </c>
      <c r="K24" t="n">
        <v>36.666666666666664</v>
      </c>
      <c r="L24" t="n">
        <v>15.0</v>
      </c>
      <c r="M24" t="n">
        <v>30.0</v>
      </c>
      <c r="N24" t="n">
        <v>15.75</v>
      </c>
      <c r="O24" t="n">
        <v>12.0</v>
      </c>
      <c r="P24" t="n">
        <v>3.7</v>
      </c>
      <c r="Q24" t="s">
        <v>0</v>
      </c>
      <c r="R24" s="277"/>
    </row>
    <row r="25" spans="2:18" ht="14.1" customHeight="1" x14ac:dyDescent="0.25">
      <c r="B25" t="s">
        <v>150</v>
      </c>
      <c r="C25" t="n">
        <v>1.0</v>
      </c>
      <c r="D25" t="n">
        <v>1.0</v>
      </c>
      <c r="E25" t="n">
        <v>1.0</v>
      </c>
      <c r="F25" t="n">
        <v>1.0</v>
      </c>
      <c r="G25" t="n">
        <v>43.333333333333336</v>
      </c>
      <c r="H25" t="n">
        <v>9.666666666666666</v>
      </c>
      <c r="I25" t="n">
        <v>53.333333333333336</v>
      </c>
      <c r="J25" t="n">
        <v>10.0</v>
      </c>
      <c r="K25" t="n">
        <v>46.666666666666664</v>
      </c>
      <c r="L25" t="n">
        <v>10.666666666666666</v>
      </c>
      <c r="M25" t="n">
        <v>27.5</v>
      </c>
      <c r="N25" t="n">
        <v>13.75</v>
      </c>
      <c r="O25" t="n">
        <v>14.1</v>
      </c>
      <c r="P25" t="n">
        <v>2.7</v>
      </c>
      <c r="Q25" t="s">
        <v>0</v>
      </c>
      <c r="R25" s="277"/>
    </row>
    <row r="26" spans="2:18" ht="14.1" customHeight="1" x14ac:dyDescent="0.25">
      <c r="B26" t="s">
        <v>151</v>
      </c>
      <c r="C26" t="n">
        <v>1.0</v>
      </c>
      <c r="D26" t="n">
        <v>3.0</v>
      </c>
      <c r="E26" t="n">
        <v>3.0</v>
      </c>
      <c r="F26" t="n">
        <v>3.0</v>
      </c>
      <c r="G26" t="n">
        <v>53.333333333333336</v>
      </c>
      <c r="H26" t="n">
        <v>4.333333333333333</v>
      </c>
      <c r="I26" t="n">
        <v>56.666666666666664</v>
      </c>
      <c r="J26" t="n">
        <v>3.6666666666666665</v>
      </c>
      <c r="K26" t="n">
        <v>20.0</v>
      </c>
      <c r="L26" t="n">
        <v>6.333333333333333</v>
      </c>
      <c r="M26" t="n">
        <v>360.0</v>
      </c>
      <c r="N26" t="n">
        <v>9.25</v>
      </c>
      <c r="O26" t="n">
        <v>14.5</v>
      </c>
      <c r="P26" t="n">
        <v>4.5</v>
      </c>
      <c r="Q26" t="s">
        <v>0</v>
      </c>
      <c r="R26" s="277"/>
    </row>
    <row r="27" spans="2:18" ht="14.1" customHeight="1" x14ac:dyDescent="0.25">
      <c r="B27" t="s">
        <v>152</v>
      </c>
      <c r="C27" t="n">
        <v>1.0</v>
      </c>
      <c r="D27" t="n">
        <v>1.0</v>
      </c>
      <c r="E27" t="n">
        <v>2.0</v>
      </c>
      <c r="F27" t="n">
        <v>2.0</v>
      </c>
      <c r="G27" t="n">
        <v>46.666666666666664</v>
      </c>
      <c r="H27" t="n">
        <v>5.0</v>
      </c>
      <c r="I27" t="n">
        <v>53.333333333333336</v>
      </c>
      <c r="J27" t="n">
        <v>4.333333333333333</v>
      </c>
      <c r="K27" t="n">
        <v>30.0</v>
      </c>
      <c r="L27" t="n">
        <v>7.0</v>
      </c>
      <c r="M27" t="n">
        <v>22.5</v>
      </c>
      <c r="N27" t="n">
        <v>10.25</v>
      </c>
      <c r="O27" t="n">
        <v>15.2</v>
      </c>
      <c r="P27" t="n">
        <v>15.2</v>
      </c>
      <c r="Q27" t="s">
        <v>0</v>
      </c>
      <c r="R27" s="277"/>
    </row>
    <row r="28" spans="2:18" ht="14.1" customHeight="1" x14ac:dyDescent="0.25">
      <c r="B28" t="s">
        <v>153</v>
      </c>
      <c r="C28" t="n">
        <v>3.0</v>
      </c>
      <c r="D28" t="n">
        <v>1.0</v>
      </c>
      <c r="E28" t="n">
        <v>1.0</v>
      </c>
      <c r="F28" t="n">
        <v>1.0</v>
      </c>
      <c r="G28" t="n">
        <v>23.333333333333332</v>
      </c>
      <c r="H28" t="n">
        <v>7.666666666666667</v>
      </c>
      <c r="I28" t="n">
        <v>20.0</v>
      </c>
      <c r="J28" t="n">
        <v>5.333333333333333</v>
      </c>
      <c r="K28" t="n">
        <v>326.6666666666667</v>
      </c>
      <c r="L28" t="n">
        <v>6.333333333333333</v>
      </c>
      <c r="M28" t="n">
        <v>20.0</v>
      </c>
      <c r="N28" t="n">
        <v>8.75</v>
      </c>
      <c r="O28" t="n">
        <v>13.4</v>
      </c>
      <c r="P28" t="n">
        <v>4.2</v>
      </c>
      <c r="Q28" t="s">
        <v>0</v>
      </c>
      <c r="R28" s="277"/>
    </row>
    <row r="29" spans="2:18" ht="14.1" customHeight="1" x14ac:dyDescent="0.25">
      <c r="B29" t="s">
        <v>154</v>
      </c>
      <c r="C29" t="n">
        <v>1.0</v>
      </c>
      <c r="D29" t="n">
        <v>1.0</v>
      </c>
      <c r="E29" t="n">
        <v>1.0</v>
      </c>
      <c r="F29" t="n">
        <v>1.0</v>
      </c>
      <c r="G29" t="n">
        <v>26.666666666666668</v>
      </c>
      <c r="H29" t="n">
        <v>9.333333333333334</v>
      </c>
      <c r="I29" t="n">
        <v>30.0</v>
      </c>
      <c r="J29" t="n">
        <v>9.333333333333334</v>
      </c>
      <c r="K29" t="n">
        <v>146.66666666666666</v>
      </c>
      <c r="L29" t="n">
        <v>6.0</v>
      </c>
      <c r="M29" t="n">
        <v>182.5</v>
      </c>
      <c r="N29" t="n">
        <v>8.0</v>
      </c>
      <c r="O29" t="n">
        <v>11.4</v>
      </c>
      <c r="P29" t="n">
        <v>11.4</v>
      </c>
      <c r="Q29" t="s">
        <v>0</v>
      </c>
      <c r="R29" s="277"/>
    </row>
    <row r="30" spans="2:18" ht="14.1" customHeight="1" x14ac:dyDescent="0.25">
      <c r="B30" t="s">
        <v>155</v>
      </c>
      <c r="C30" t="n">
        <v>2.0</v>
      </c>
      <c r="D30" t="n">
        <v>3.0</v>
      </c>
      <c r="E30" t="n">
        <v>2.0</v>
      </c>
      <c r="F30" t="n">
        <v>2.0</v>
      </c>
      <c r="G30" t="n">
        <v>346.6666666666667</v>
      </c>
      <c r="H30" t="n">
        <v>5.666666666666667</v>
      </c>
      <c r="I30" t="n">
        <v>355.0</v>
      </c>
      <c r="J30" t="n">
        <v>2.3333333333333335</v>
      </c>
      <c r="K30" t="n">
        <v>26.666666666666668</v>
      </c>
      <c r="L30" t="n">
        <v>5.333333333333333</v>
      </c>
      <c r="M30" t="n">
        <v>25.0</v>
      </c>
      <c r="N30" t="n">
        <v>9.25</v>
      </c>
      <c r="O30" t="n">
        <v>10.8</v>
      </c>
      <c r="P30" t="n">
        <v>10.8</v>
      </c>
      <c r="Q30" t="s">
        <v>0</v>
      </c>
      <c r="R30" s="277"/>
    </row>
    <row r="31" spans="2:18" ht="14.1" customHeight="1" x14ac:dyDescent="0.25">
      <c r="B31" t="s">
        <v>156</v>
      </c>
      <c r="C31" t="n">
        <v>1.0</v>
      </c>
      <c r="D31" t="n">
        <v>1.0</v>
      </c>
      <c r="E31" t="n">
        <v>1.0</v>
      </c>
      <c r="F31" t="n">
        <v>1.0</v>
      </c>
      <c r="G31" t="n">
        <v>23.333333333333332</v>
      </c>
      <c r="H31" t="n">
        <v>6.333333333333333</v>
      </c>
      <c r="I31" t="n">
        <v>63.333333333333336</v>
      </c>
      <c r="J31" t="n">
        <v>2.6666666666666665</v>
      </c>
      <c r="K31" t="n">
        <v>336.6666666666667</v>
      </c>
      <c r="L31" t="n">
        <v>6.0</v>
      </c>
      <c r="M31" t="n">
        <v>330.0</v>
      </c>
      <c r="N31" t="n">
        <v>9.25</v>
      </c>
      <c r="O31" t="n">
        <v>12.0</v>
      </c>
      <c r="P31" t="n">
        <v>-0.1</v>
      </c>
      <c r="Q31" t="s">
        <v>0</v>
      </c>
      <c r="R31" s="277"/>
    </row>
    <row r="32" spans="2:18" ht="14.1" customHeight="1" x14ac:dyDescent="0.25">
      <c r="B32" t="s">
        <v>157</v>
      </c>
      <c r="C32" t="n">
        <v>4.0</v>
      </c>
      <c r="D32" t="n">
        <v>4.0</v>
      </c>
      <c r="E32" t="n">
        <v>4.0</v>
      </c>
      <c r="F32" t="n">
        <v>3.0</v>
      </c>
      <c r="G32" t="n">
        <v>223.33333333333334</v>
      </c>
      <c r="H32" t="n">
        <v>7.666666666666667</v>
      </c>
      <c r="I32" t="n">
        <v>210.0</v>
      </c>
      <c r="J32" t="n">
        <v>7.666666666666667</v>
      </c>
      <c r="K32" t="n">
        <v>183.33333333333334</v>
      </c>
      <c r="L32" t="n">
        <v>5.666666666666667</v>
      </c>
      <c r="M32" t="n">
        <v>257.5</v>
      </c>
      <c r="N32" t="n">
        <v>7.25</v>
      </c>
      <c r="O32" t="n">
        <v>8.7</v>
      </c>
      <c r="P32" t="n">
        <v>3.9</v>
      </c>
      <c r="Q32" t="s">
        <v>184</v>
      </c>
      <c r="R32" s="277"/>
    </row>
    <row r="33" spans="2:25" ht="14.1" customHeight="1" x14ac:dyDescent="0.25">
      <c r="B33" t="s">
        <v>158</v>
      </c>
      <c r="C33" t="n">
        <v>2.0</v>
      </c>
      <c r="D33" t="n">
        <v>3.0</v>
      </c>
      <c r="E33" t="n">
        <v>4.0</v>
      </c>
      <c r="F33" t="n">
        <v>4.0</v>
      </c>
      <c r="G33" t="n">
        <v>220.0</v>
      </c>
      <c r="H33" t="n">
        <v>5.333333333333333</v>
      </c>
      <c r="I33" t="n">
        <v>246.66666666666666</v>
      </c>
      <c r="J33" t="n">
        <v>7.0</v>
      </c>
      <c r="K33" t="n">
        <v>240.0</v>
      </c>
      <c r="L33" t="n">
        <v>6.666666666666667</v>
      </c>
      <c r="M33" t="n">
        <v>117.5</v>
      </c>
      <c r="N33" t="n">
        <v>6.5</v>
      </c>
      <c r="O33" t="n">
        <v>8.5</v>
      </c>
      <c r="P33" t="n">
        <v>1.5</v>
      </c>
      <c r="Q33" t="s">
        <v>162</v>
      </c>
      <c r="R33" s="277"/>
    </row>
    <row r="34" spans="2:25" ht="14.1" customHeight="1" x14ac:dyDescent="0.25">
      <c r="B34" t="s">
        <v>159</v>
      </c>
      <c r="C34" t="n">
        <v>1.0</v>
      </c>
      <c r="D34" t="n">
        <v>1.0</v>
      </c>
      <c r="E34" t="n">
        <v>1.0</v>
      </c>
      <c r="F34" t="n">
        <v>2.0</v>
      </c>
      <c r="G34" t="n">
        <v>26.666666666666668</v>
      </c>
      <c r="H34" t="n">
        <v>4.0</v>
      </c>
      <c r="I34" t="n">
        <v>86.66666666666667</v>
      </c>
      <c r="J34" t="n">
        <v>2.6666666666666665</v>
      </c>
      <c r="K34" t="n">
        <v>226.66666666666666</v>
      </c>
      <c r="L34" t="n">
        <v>4.333333333333333</v>
      </c>
      <c r="M34" t="n">
        <v>235.0</v>
      </c>
      <c r="N34" t="n">
        <v>4.75</v>
      </c>
      <c r="O34" t="n">
        <v>10.8</v>
      </c>
      <c r="P34" t="n">
        <v>0.1</v>
      </c>
      <c r="Q34" t="s">
        <v>0</v>
      </c>
      <c r="R34" s="277"/>
    </row>
    <row r="35" spans="2:25" ht="14.1" customHeight="1" x14ac:dyDescent="0.25">
      <c r="B35" t="s">
        <v>160</v>
      </c>
      <c r="C35" t="n">
        <v>1.0</v>
      </c>
      <c r="D35" t="n">
        <v>2.0</v>
      </c>
      <c r="E35" t="n">
        <v>3.0</v>
      </c>
      <c r="F35" t="n">
        <v>3.0</v>
      </c>
      <c r="G35" t="n">
        <v>126.66666666666667</v>
      </c>
      <c r="H35" t="n">
        <v>3.3333333333333335</v>
      </c>
      <c r="I35" t="n">
        <v>163.33333333333334</v>
      </c>
      <c r="J35" t="n">
        <v>4.666666666666667</v>
      </c>
      <c r="K35" t="n">
        <v>183.33333333333334</v>
      </c>
      <c r="L35" t="n">
        <v>4.0</v>
      </c>
      <c r="M35" t="n">
        <v>280.0</v>
      </c>
      <c r="N35" t="n">
        <v>7.25</v>
      </c>
      <c r="O35" t="n">
        <v>12.5</v>
      </c>
      <c r="P35" t="n">
        <v>0.8</v>
      </c>
      <c r="Q35" t="s">
        <v>0</v>
      </c>
      <c r="R35" s="277"/>
    </row>
    <row r="36" spans="2:25" ht="14.1" customHeight="1" x14ac:dyDescent="0.25">
      <c r="B36" t="s">
        <v>161</v>
      </c>
      <c r="C36" t="n">
        <v>3.0</v>
      </c>
      <c r="D36" t="n">
        <v>2.0</v>
      </c>
      <c r="E36" t="n">
        <v>2.0</v>
      </c>
      <c r="F36" t="n">
        <v>2.0</v>
      </c>
      <c r="G36" t="n">
        <v>103.33333333333333</v>
      </c>
      <c r="H36" t="n">
        <v>6.0</v>
      </c>
      <c r="I36" t="n">
        <v>123.33333333333333</v>
      </c>
      <c r="J36" t="n">
        <v>6.333333333333333</v>
      </c>
      <c r="K36" t="n">
        <v>116.66666666666667</v>
      </c>
      <c r="L36" t="n">
        <v>7.333333333333333</v>
      </c>
      <c r="M36" t="n">
        <v>187.5</v>
      </c>
      <c r="N36" t="n">
        <v>8.75</v>
      </c>
      <c r="O36" t="n">
        <v>15.3</v>
      </c>
      <c r="P36" t="n">
        <v>15.3</v>
      </c>
      <c r="Q36" t="s">
        <v>0</v>
      </c>
      <c r="R36" s="277"/>
    </row>
    <row r="39" spans="2:25" ht="14.1" customHeight="1" thickBot="1" x14ac:dyDescent="0.3"/>
    <row r="40" spans="2:25" s="177" customFormat="1" ht="24.95" customHeight="1" thickBot="1" x14ac:dyDescent="0.3">
      <c r="B40" s="260" t="s">
        <v>5</v>
      </c>
      <c r="C40" s="250" t="s">
        <v>107</v>
      </c>
      <c r="D40" s="251"/>
      <c r="E40" s="251"/>
      <c r="F40" s="251"/>
      <c r="G40" s="251"/>
      <c r="H40" s="252"/>
      <c r="I40" s="253" t="s">
        <v>111</v>
      </c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5"/>
      <c r="U40" s="263" t="s">
        <v>112</v>
      </c>
      <c r="V40" s="264"/>
      <c r="W40" s="265"/>
      <c r="X40" s="266" t="s">
        <v>108</v>
      </c>
      <c r="Y40" s="267"/>
    </row>
    <row r="41" spans="2:25" s="177" customFormat="1" ht="24.95" customHeight="1" thickBot="1" x14ac:dyDescent="0.3">
      <c r="B41" s="261"/>
      <c r="C41" s="268" t="s">
        <v>95</v>
      </c>
      <c r="D41" s="269"/>
      <c r="E41" s="256" t="s">
        <v>96</v>
      </c>
      <c r="F41" s="257"/>
      <c r="G41" s="256" t="s">
        <v>97</v>
      </c>
      <c r="H41" s="257"/>
      <c r="I41" s="268" t="s">
        <v>95</v>
      </c>
      <c r="J41" s="270"/>
      <c r="K41" s="270"/>
      <c r="L41" s="269"/>
      <c r="M41" s="256" t="s">
        <v>96</v>
      </c>
      <c r="N41" s="271"/>
      <c r="O41" s="271"/>
      <c r="P41" s="257"/>
      <c r="Q41" s="256" t="s">
        <v>97</v>
      </c>
      <c r="R41" s="271"/>
      <c r="S41" s="271"/>
      <c r="T41" s="257"/>
      <c r="U41" s="181" t="s">
        <v>95</v>
      </c>
      <c r="V41" s="182" t="s">
        <v>96</v>
      </c>
      <c r="W41" s="182" t="s">
        <v>97</v>
      </c>
      <c r="X41" s="272" t="s">
        <v>95</v>
      </c>
      <c r="Y41" s="272" t="s">
        <v>96</v>
      </c>
    </row>
    <row r="42" spans="2:25" s="177" customFormat="1" ht="24.95" customHeight="1" x14ac:dyDescent="0.25">
      <c r="B42" s="262"/>
      <c r="C42" s="274" t="s">
        <v>94</v>
      </c>
      <c r="D42" s="275"/>
      <c r="E42" s="258" t="s">
        <v>94</v>
      </c>
      <c r="F42" s="259"/>
      <c r="G42" s="258" t="s">
        <v>94</v>
      </c>
      <c r="H42" s="259"/>
      <c r="I42" s="231" t="s">
        <v>98</v>
      </c>
      <c r="J42" s="232" t="s">
        <v>24</v>
      </c>
      <c r="K42" s="231" t="s">
        <v>99</v>
      </c>
      <c r="L42" s="232" t="s">
        <v>100</v>
      </c>
      <c r="M42" s="179" t="s">
        <v>99</v>
      </c>
      <c r="N42" s="180" t="s">
        <v>24</v>
      </c>
      <c r="O42" s="179" t="s">
        <v>101</v>
      </c>
      <c r="P42" s="180" t="s">
        <v>100</v>
      </c>
      <c r="Q42" s="179" t="s">
        <v>99</v>
      </c>
      <c r="R42" s="180" t="s">
        <v>24</v>
      </c>
      <c r="S42" s="179" t="s">
        <v>101</v>
      </c>
      <c r="T42" s="180" t="s">
        <v>100</v>
      </c>
      <c r="U42" s="233" t="s">
        <v>20</v>
      </c>
      <c r="V42" s="234" t="s">
        <v>20</v>
      </c>
      <c r="W42" s="235" t="s">
        <v>21</v>
      </c>
      <c r="X42" s="273"/>
      <c r="Y42" s="273"/>
    </row>
    <row r="43" spans="2:25" ht="14.1" customHeight="1" x14ac:dyDescent="0.25">
      <c r="B43" t="s">
        <v>164</v>
      </c>
      <c r="C43" t="n">
        <v>2.0</v>
      </c>
      <c r="D43" t="n">
        <v>2.0</v>
      </c>
      <c r="E43" t="n">
        <v>2.0</v>
      </c>
      <c r="F43" t="n">
        <v>1.0</v>
      </c>
      <c r="G43" t="n">
        <v>1.0</v>
      </c>
      <c r="H43" t="n">
        <v>1.0</v>
      </c>
      <c r="I43" t="n">
        <v>180.0</v>
      </c>
      <c r="J43" t="n">
        <v>2.0</v>
      </c>
      <c r="K43" t="n">
        <v>315.0</v>
      </c>
      <c r="L43" t="n">
        <v>20.0</v>
      </c>
      <c r="M43" t="n">
        <v>0.0</v>
      </c>
      <c r="N43" t="n">
        <v>2.0</v>
      </c>
      <c r="O43" t="n">
        <v>90.0</v>
      </c>
      <c r="P43" t="n">
        <v>20.0</v>
      </c>
      <c r="Q43" t="n">
        <v>0.0</v>
      </c>
      <c r="R43" t="n">
        <v>2.0</v>
      </c>
      <c r="S43" t="n">
        <v>45.0</v>
      </c>
      <c r="T43" t="n">
        <v>25.0</v>
      </c>
      <c r="U43" t="n">
        <v>21.0</v>
      </c>
      <c r="V43" t="n">
        <v>20.0</v>
      </c>
      <c r="W43" t="n">
        <v>6.0</v>
      </c>
      <c r="X43" t="s">
        <v>0</v>
      </c>
      <c r="Y43" t="s">
        <v>0</v>
      </c>
    </row>
    <row r="44" spans="2:25" ht="14.1" customHeight="1" x14ac:dyDescent="0.25">
      <c r="B44" t="s">
        <v>131</v>
      </c>
      <c r="C44" t="n">
        <v>2.0</v>
      </c>
      <c r="D44" t="n">
        <v>1.0</v>
      </c>
      <c r="E44" t="n">
        <v>1.0</v>
      </c>
      <c r="F44" t="n">
        <v>1.0</v>
      </c>
      <c r="G44" t="n">
        <v>1.0</v>
      </c>
      <c r="H44" t="n">
        <v>1.0</v>
      </c>
      <c r="I44" t="n">
        <v>225.0</v>
      </c>
      <c r="J44" t="n">
        <v>2.0</v>
      </c>
      <c r="K44" t="n">
        <v>0.0</v>
      </c>
      <c r="L44" t="n">
        <v>25.0</v>
      </c>
      <c r="M44" t="n">
        <v>90.0</v>
      </c>
      <c r="N44" t="n">
        <v>2.0</v>
      </c>
      <c r="O44" t="n">
        <v>90.0</v>
      </c>
      <c r="P44" t="n">
        <v>25.0</v>
      </c>
      <c r="Q44" t="n">
        <v>0.0</v>
      </c>
      <c r="R44" t="n">
        <v>2.0</v>
      </c>
      <c r="S44" t="n">
        <v>0.0</v>
      </c>
      <c r="T44" t="n">
        <v>40.0</v>
      </c>
      <c r="U44" t="n">
        <v>19.0</v>
      </c>
      <c r="V44" t="n">
        <v>20.0</v>
      </c>
      <c r="W44" t="n">
        <v>5.0</v>
      </c>
      <c r="X44" t="s">
        <v>0</v>
      </c>
      <c r="Y44" t="s">
        <v>0</v>
      </c>
    </row>
    <row r="45" spans="2:25" ht="14.1" customHeight="1" x14ac:dyDescent="0.25">
      <c r="B45" t="s">
        <v>132</v>
      </c>
      <c r="C45" t="n">
        <v>1.0</v>
      </c>
      <c r="D45" t="n">
        <v>1.0</v>
      </c>
      <c r="E45" t="n">
        <v>1.0</v>
      </c>
      <c r="F45" t="n">
        <v>1.0</v>
      </c>
      <c r="G45" t="n">
        <v>1.0</v>
      </c>
      <c r="H45" t="n">
        <v>1.0</v>
      </c>
      <c r="I45" t="n">
        <v>0.0</v>
      </c>
      <c r="J45" t="n">
        <v>2.0</v>
      </c>
      <c r="K45" t="n">
        <v>0.0</v>
      </c>
      <c r="L45" t="n">
        <v>25.0</v>
      </c>
      <c r="M45" t="n">
        <v>0.0</v>
      </c>
      <c r="N45" t="n">
        <v>2.0</v>
      </c>
      <c r="O45" t="n">
        <v>0.0</v>
      </c>
      <c r="P45" t="n">
        <v>15.0</v>
      </c>
      <c r="Q45" t="n">
        <v>0.0</v>
      </c>
      <c r="R45" t="n">
        <v>2.0</v>
      </c>
      <c r="S45" t="n">
        <v>0.0</v>
      </c>
      <c r="T45" t="n">
        <v>35.0</v>
      </c>
      <c r="U45" t="n">
        <v>19.0</v>
      </c>
      <c r="V45" t="n">
        <v>20.0</v>
      </c>
      <c r="W45" t="n">
        <v>7.0</v>
      </c>
      <c r="X45" t="s">
        <v>0</v>
      </c>
      <c r="Y45" t="s">
        <v>0</v>
      </c>
    </row>
    <row r="46" spans="2:25" ht="14.1" customHeight="1" x14ac:dyDescent="0.25">
      <c r="B46" t="s">
        <v>133</v>
      </c>
      <c r="C46" t="n">
        <v>2.0</v>
      </c>
      <c r="D46" t="n">
        <v>1.0</v>
      </c>
      <c r="E46" t="n">
        <v>1.0</v>
      </c>
      <c r="F46" t="n">
        <v>1.0</v>
      </c>
      <c r="G46" t="n">
        <v>1.0</v>
      </c>
      <c r="H46" t="n">
        <v>1.0</v>
      </c>
      <c r="I46" t="n">
        <v>0.0</v>
      </c>
      <c r="J46" t="n">
        <v>2.0</v>
      </c>
      <c r="K46" t="n">
        <v>0.0</v>
      </c>
      <c r="L46" t="n">
        <v>35.0</v>
      </c>
      <c r="M46" t="n">
        <v>45.0</v>
      </c>
      <c r="N46" t="n">
        <v>2.0</v>
      </c>
      <c r="O46" t="n">
        <v>45.0</v>
      </c>
      <c r="P46" t="n">
        <v>20.0</v>
      </c>
      <c r="Q46" t="n">
        <v>0.0</v>
      </c>
      <c r="R46" t="n">
        <v>2.0</v>
      </c>
      <c r="S46" t="n">
        <v>315.0</v>
      </c>
      <c r="T46" t="n">
        <v>25.0</v>
      </c>
      <c r="U46" t="n">
        <v>20.0</v>
      </c>
      <c r="V46" t="n">
        <v>19.0</v>
      </c>
      <c r="W46" t="n">
        <v>7.0</v>
      </c>
      <c r="X46" t="s">
        <v>0</v>
      </c>
      <c r="Y46" t="s">
        <v>0</v>
      </c>
    </row>
    <row r="47" spans="2:25" ht="14.1" customHeight="1" x14ac:dyDescent="0.25">
      <c r="B47" t="s">
        <v>134</v>
      </c>
      <c r="C47" t="n">
        <v>1.0</v>
      </c>
      <c r="D47" t="n">
        <v>1.0</v>
      </c>
      <c r="E47" t="n">
        <v>1.0</v>
      </c>
      <c r="F47" t="n">
        <v>1.0</v>
      </c>
      <c r="G47" t="n">
        <v>1.0</v>
      </c>
      <c r="H47" t="n">
        <v>1.0</v>
      </c>
      <c r="I47" t="n">
        <v>45.0</v>
      </c>
      <c r="J47" t="n">
        <v>2.0</v>
      </c>
      <c r="K47" t="n">
        <v>0.0</v>
      </c>
      <c r="L47" t="n">
        <v>30.0</v>
      </c>
      <c r="M47" t="n">
        <v>90.0</v>
      </c>
      <c r="N47" t="n">
        <v>2.0</v>
      </c>
      <c r="O47" t="n">
        <v>90.0</v>
      </c>
      <c r="P47" t="n">
        <v>20.0</v>
      </c>
      <c r="Q47" t="n">
        <v>225.0</v>
      </c>
      <c r="R47" t="n">
        <v>2.0</v>
      </c>
      <c r="S47" t="n">
        <v>270.0</v>
      </c>
      <c r="T47" t="n">
        <v>25.0</v>
      </c>
      <c r="U47" t="n">
        <v>19.0</v>
      </c>
      <c r="V47" t="n">
        <v>19.0</v>
      </c>
      <c r="W47" t="n">
        <v>6.0</v>
      </c>
      <c r="X47" t="s">
        <v>0</v>
      </c>
      <c r="Y47" t="s">
        <v>0</v>
      </c>
    </row>
    <row r="48" spans="2:25" ht="14.1" customHeight="1" x14ac:dyDescent="0.25">
      <c r="B48" t="s">
        <v>135</v>
      </c>
      <c r="C48" t="n">
        <v>1.0</v>
      </c>
      <c r="D48" t="n">
        <v>1.0</v>
      </c>
      <c r="E48" t="n">
        <v>1.0</v>
      </c>
      <c r="F48" t="n">
        <v>1.0</v>
      </c>
      <c r="G48" t="n">
        <v>1.0</v>
      </c>
      <c r="H48" t="n">
        <v>1.0</v>
      </c>
      <c r="I48" t="n">
        <v>225.0</v>
      </c>
      <c r="J48" t="n">
        <v>2.0</v>
      </c>
      <c r="K48" t="n">
        <v>0.0</v>
      </c>
      <c r="L48" t="n">
        <v>20.0</v>
      </c>
      <c r="M48" t="n">
        <v>90.0</v>
      </c>
      <c r="N48" t="n">
        <v>2.0</v>
      </c>
      <c r="O48" t="n">
        <v>45.0</v>
      </c>
      <c r="P48" t="n">
        <v>15.0</v>
      </c>
      <c r="Q48" t="n">
        <v>270.0</v>
      </c>
      <c r="R48" t="n">
        <v>2.0</v>
      </c>
      <c r="S48" t="n">
        <v>225.0</v>
      </c>
      <c r="T48" t="n">
        <v>20.0</v>
      </c>
      <c r="U48" t="n">
        <v>20.0</v>
      </c>
      <c r="V48" t="n">
        <v>19.0</v>
      </c>
      <c r="W48" t="n">
        <v>7.0</v>
      </c>
      <c r="X48" t="s">
        <v>0</v>
      </c>
      <c r="Y48" t="s">
        <v>0</v>
      </c>
    </row>
    <row r="49" spans="2:25" ht="14.1" customHeight="1" x14ac:dyDescent="0.25">
      <c r="B49" t="s">
        <v>136</v>
      </c>
      <c r="C49" t="n">
        <v>1.0</v>
      </c>
      <c r="D49" t="n">
        <v>1.0</v>
      </c>
      <c r="E49" t="n">
        <v>1.0</v>
      </c>
      <c r="F49" t="n">
        <v>1.0</v>
      </c>
      <c r="G49" t="n">
        <v>1.0</v>
      </c>
      <c r="H49" t="n">
        <v>1.0</v>
      </c>
      <c r="I49" t="n">
        <v>270.0</v>
      </c>
      <c r="J49" t="n">
        <v>2.0</v>
      </c>
      <c r="K49" t="n">
        <v>270.0</v>
      </c>
      <c r="L49" t="n">
        <v>25.0</v>
      </c>
      <c r="M49" t="n">
        <v>90.0</v>
      </c>
      <c r="N49" t="n">
        <v>2.0</v>
      </c>
      <c r="O49" t="n">
        <v>45.0</v>
      </c>
      <c r="P49" t="n">
        <v>15.0</v>
      </c>
      <c r="Q49" t="n">
        <v>225.0</v>
      </c>
      <c r="R49" t="n">
        <v>2.0</v>
      </c>
      <c r="S49" t="n">
        <v>0.0</v>
      </c>
      <c r="T49" t="n">
        <v>25.0</v>
      </c>
      <c r="U49" t="n">
        <v>18.0</v>
      </c>
      <c r="V49" t="n">
        <v>18.0</v>
      </c>
      <c r="W49" t="n">
        <v>6.0</v>
      </c>
      <c r="X49" t="s">
        <v>0</v>
      </c>
      <c r="Y49" t="s">
        <v>0</v>
      </c>
    </row>
    <row r="50" spans="2:25" ht="14.1" customHeight="1" x14ac:dyDescent="0.25">
      <c r="B50" t="s">
        <v>137</v>
      </c>
      <c r="C50" t="n">
        <v>1.0</v>
      </c>
      <c r="D50" t="n">
        <v>1.0</v>
      </c>
      <c r="E50" t="n">
        <v>1.0</v>
      </c>
      <c r="F50" t="n">
        <v>1.0</v>
      </c>
      <c r="G50" t="n">
        <v>1.0</v>
      </c>
      <c r="H50" t="n">
        <v>1.0</v>
      </c>
      <c r="I50" t="n">
        <v>225.0</v>
      </c>
      <c r="J50" t="n">
        <v>2.0</v>
      </c>
      <c r="K50" t="n">
        <v>315.0</v>
      </c>
      <c r="L50" t="n">
        <v>25.0</v>
      </c>
      <c r="M50" t="n">
        <v>90.0</v>
      </c>
      <c r="N50" t="n">
        <v>2.0</v>
      </c>
      <c r="O50" t="n">
        <v>90.0</v>
      </c>
      <c r="P50" t="n">
        <v>15.0</v>
      </c>
      <c r="Q50" t="n">
        <v>270.0</v>
      </c>
      <c r="R50" t="n">
        <v>2.0</v>
      </c>
      <c r="S50" t="n">
        <v>270.0</v>
      </c>
      <c r="T50" t="n">
        <v>25.0</v>
      </c>
      <c r="U50" t="n">
        <v>18.0</v>
      </c>
      <c r="V50" t="n">
        <v>18.0</v>
      </c>
      <c r="W50" t="n">
        <v>6.0</v>
      </c>
      <c r="X50" t="s">
        <v>0</v>
      </c>
      <c r="Y50" t="s">
        <v>187</v>
      </c>
    </row>
    <row r="51" spans="2:25" ht="14.1" customHeight="1" x14ac:dyDescent="0.25">
      <c r="B51" t="s">
        <v>138</v>
      </c>
      <c r="C51" t="n">
        <v>1.0</v>
      </c>
      <c r="D51" t="n">
        <v>1.0</v>
      </c>
      <c r="E51" t="n">
        <v>1.0</v>
      </c>
      <c r="F51" t="n">
        <v>1.0</v>
      </c>
      <c r="G51" t="n">
        <v>1.0</v>
      </c>
      <c r="H51" t="n">
        <v>2.0</v>
      </c>
      <c r="I51" t="n">
        <v>270.0</v>
      </c>
      <c r="J51" t="n">
        <v>2.0</v>
      </c>
      <c r="K51" t="n">
        <v>135.0</v>
      </c>
      <c r="L51" t="n">
        <v>30.0</v>
      </c>
      <c r="M51" t="n">
        <v>45.0</v>
      </c>
      <c r="N51" t="n">
        <v>2.0</v>
      </c>
      <c r="O51" t="n">
        <v>45.0</v>
      </c>
      <c r="P51" t="n">
        <v>15.0</v>
      </c>
      <c r="Q51" t="n">
        <v>0.0</v>
      </c>
      <c r="R51" t="n">
        <v>2.0</v>
      </c>
      <c r="S51" t="n">
        <v>0.0</v>
      </c>
      <c r="T51" t="n">
        <v>25.0</v>
      </c>
      <c r="U51" t="n">
        <v>18.0</v>
      </c>
      <c r="V51" t="n">
        <v>20.0</v>
      </c>
      <c r="W51" t="n">
        <v>5.0</v>
      </c>
      <c r="X51" t="s">
        <v>0</v>
      </c>
      <c r="Y51" t="s">
        <v>0</v>
      </c>
    </row>
    <row r="52" spans="2:25" ht="14.1" customHeight="1" x14ac:dyDescent="0.25">
      <c r="B52" t="s">
        <v>139</v>
      </c>
      <c r="C52" t="n">
        <v>1.0</v>
      </c>
      <c r="D52" t="n">
        <v>1.0</v>
      </c>
      <c r="E52" t="n">
        <v>1.0</v>
      </c>
      <c r="F52" t="n">
        <v>1.0</v>
      </c>
      <c r="G52" t="n">
        <v>1.0</v>
      </c>
      <c r="H52" t="n">
        <v>1.0</v>
      </c>
      <c r="I52" t="n">
        <v>0.0</v>
      </c>
      <c r="J52" t="n">
        <v>2.0</v>
      </c>
      <c r="K52" t="n">
        <v>45.0</v>
      </c>
      <c r="L52" t="n">
        <v>30.0</v>
      </c>
      <c r="M52" t="n">
        <v>45.0</v>
      </c>
      <c r="N52" t="n">
        <v>2.0</v>
      </c>
      <c r="O52" t="n">
        <v>45.0</v>
      </c>
      <c r="P52" t="n">
        <v>20.0</v>
      </c>
      <c r="Q52" t="n">
        <v>0.0</v>
      </c>
      <c r="R52" t="n">
        <v>2.0</v>
      </c>
      <c r="S52" t="n">
        <v>0.0</v>
      </c>
      <c r="T52" t="n">
        <v>25.0</v>
      </c>
      <c r="U52" t="n">
        <v>19.0</v>
      </c>
      <c r="V52" t="n">
        <v>21.0</v>
      </c>
      <c r="W52" t="n">
        <v>6.0</v>
      </c>
      <c r="X52" t="s">
        <v>0</v>
      </c>
      <c r="Y52" t="s">
        <v>187</v>
      </c>
    </row>
    <row r="53" spans="2:25" ht="14.1" customHeight="1" x14ac:dyDescent="0.25">
      <c r="B53" t="s">
        <v>140</v>
      </c>
      <c r="C53" t="n">
        <v>1.0</v>
      </c>
      <c r="D53" t="n">
        <v>1.0</v>
      </c>
      <c r="E53" t="n">
        <v>3.0</v>
      </c>
      <c r="F53" t="n">
        <v>3.0</v>
      </c>
      <c r="G53" t="n">
        <v>1.0</v>
      </c>
      <c r="H53" t="n">
        <v>2.0</v>
      </c>
      <c r="I53" t="n">
        <v>0.0</v>
      </c>
      <c r="J53" t="n">
        <v>2.0</v>
      </c>
      <c r="K53" t="n">
        <v>0.0</v>
      </c>
      <c r="L53" t="n">
        <v>25.0</v>
      </c>
      <c r="M53" t="n">
        <v>0.0</v>
      </c>
      <c r="N53" t="n">
        <v>2.0</v>
      </c>
      <c r="O53" t="n">
        <v>0.0</v>
      </c>
      <c r="P53" t="n">
        <v>15.0</v>
      </c>
      <c r="Q53" t="n">
        <v>0.0</v>
      </c>
      <c r="R53" t="n">
        <v>5.0</v>
      </c>
      <c r="S53" t="n">
        <v>0.0</v>
      </c>
      <c r="T53" t="n">
        <v>25.0</v>
      </c>
      <c r="U53" t="n">
        <v>21.0</v>
      </c>
      <c r="V53" t="n">
        <v>18.0</v>
      </c>
      <c r="W53" t="n">
        <v>7.0</v>
      </c>
      <c r="X53" t="s">
        <v>0</v>
      </c>
      <c r="Y53" t="s">
        <v>0</v>
      </c>
    </row>
    <row r="54" spans="2:25" ht="14.1" customHeight="1" x14ac:dyDescent="0.25">
      <c r="B54" t="s">
        <v>141</v>
      </c>
      <c r="C54" t="n">
        <v>2.0</v>
      </c>
      <c r="D54" t="n">
        <v>1.0</v>
      </c>
      <c r="E54" t="n">
        <v>2.0</v>
      </c>
      <c r="F54" t="n">
        <v>2.0</v>
      </c>
      <c r="G54" t="n">
        <v>3.0</v>
      </c>
      <c r="H54" t="n">
        <v>2.0</v>
      </c>
      <c r="I54" t="n">
        <v>0.0</v>
      </c>
      <c r="J54" t="n">
        <v>5.0</v>
      </c>
      <c r="K54" t="n">
        <v>0.0</v>
      </c>
      <c r="L54" t="n">
        <v>30.0</v>
      </c>
      <c r="M54" t="n">
        <v>45.0</v>
      </c>
      <c r="N54" t="n">
        <v>5.0</v>
      </c>
      <c r="O54" t="n">
        <v>45.0</v>
      </c>
      <c r="P54" t="n">
        <v>25.0</v>
      </c>
      <c r="Q54" t="n">
        <v>0.0</v>
      </c>
      <c r="R54" t="n">
        <v>5.0</v>
      </c>
      <c r="S54" t="n">
        <v>0.0</v>
      </c>
      <c r="T54" t="n">
        <v>30.0</v>
      </c>
      <c r="U54" t="n">
        <v>17.0</v>
      </c>
      <c r="V54" t="n">
        <v>19.0</v>
      </c>
      <c r="W54" t="n">
        <v>6.0</v>
      </c>
      <c r="X54" t="s">
        <v>0</v>
      </c>
      <c r="Y54" t="s">
        <v>187</v>
      </c>
    </row>
    <row r="55" spans="2:25" ht="14.1" customHeight="1" x14ac:dyDescent="0.25">
      <c r="B55" t="s">
        <v>142</v>
      </c>
      <c r="C55" t="n">
        <v>1.0</v>
      </c>
      <c r="D55" t="n">
        <v>1.0</v>
      </c>
      <c r="E55" t="n">
        <v>1.0</v>
      </c>
      <c r="F55" t="n">
        <v>1.0</v>
      </c>
      <c r="G55" t="n">
        <v>1.0</v>
      </c>
      <c r="H55" t="n">
        <v>1.0</v>
      </c>
      <c r="I55" t="n">
        <v>0.0</v>
      </c>
      <c r="J55" t="n">
        <v>5.0</v>
      </c>
      <c r="K55" t="n">
        <v>45.0</v>
      </c>
      <c r="L55" t="n">
        <v>35.0</v>
      </c>
      <c r="M55" t="n">
        <v>45.0</v>
      </c>
      <c r="N55" t="n">
        <v>2.0</v>
      </c>
      <c r="O55" t="n">
        <v>45.0</v>
      </c>
      <c r="P55" t="n">
        <v>20.0</v>
      </c>
      <c r="Q55" t="n">
        <v>45.0</v>
      </c>
      <c r="R55" t="n">
        <v>2.0</v>
      </c>
      <c r="S55" t="n">
        <v>0.0</v>
      </c>
      <c r="T55" t="n">
        <v>30.0</v>
      </c>
      <c r="U55" t="n">
        <v>17.0</v>
      </c>
      <c r="V55" t="n">
        <v>20.0</v>
      </c>
      <c r="W55" t="n">
        <v>6.0</v>
      </c>
      <c r="X55" t="s">
        <v>0</v>
      </c>
      <c r="Y55" t="s">
        <v>0</v>
      </c>
    </row>
    <row r="56" spans="2:25" ht="14.1" customHeight="1" x14ac:dyDescent="0.25">
      <c r="B56" t="s">
        <v>143</v>
      </c>
      <c r="C56" t="n">
        <v>1.0</v>
      </c>
      <c r="D56" t="n">
        <v>1.0</v>
      </c>
      <c r="E56" t="n">
        <v>1.0</v>
      </c>
      <c r="F56" t="n">
        <v>1.0</v>
      </c>
      <c r="G56" t="n">
        <v>1.0</v>
      </c>
      <c r="H56" t="n">
        <v>1.0</v>
      </c>
      <c r="I56" t="n">
        <v>0.0</v>
      </c>
      <c r="J56" t="n">
        <v>2.0</v>
      </c>
      <c r="K56" t="n">
        <v>0.0</v>
      </c>
      <c r="L56" t="n">
        <v>30.0</v>
      </c>
      <c r="M56" t="n">
        <v>45.0</v>
      </c>
      <c r="N56" t="n">
        <v>2.0</v>
      </c>
      <c r="O56" t="n">
        <v>45.0</v>
      </c>
      <c r="P56" t="n">
        <v>20.0</v>
      </c>
      <c r="Q56" t="n">
        <v>315.0</v>
      </c>
      <c r="R56" t="n">
        <v>2.0</v>
      </c>
      <c r="S56" t="n">
        <v>45.0</v>
      </c>
      <c r="T56" t="n">
        <v>25.0</v>
      </c>
      <c r="U56" t="n">
        <v>19.0</v>
      </c>
      <c r="V56" t="n">
        <v>20.0</v>
      </c>
      <c r="W56" t="n">
        <v>5.0</v>
      </c>
      <c r="X56" t="s">
        <v>0</v>
      </c>
      <c r="Y56" t="s">
        <v>0</v>
      </c>
    </row>
    <row r="57" spans="2:25" ht="14.1" customHeight="1" x14ac:dyDescent="0.25">
      <c r="B57" t="s">
        <v>144</v>
      </c>
      <c r="C57" t="n">
        <v>1.0</v>
      </c>
      <c r="D57" t="n">
        <v>1.0</v>
      </c>
      <c r="E57" t="n">
        <v>1.0</v>
      </c>
      <c r="F57" t="n">
        <v>1.0</v>
      </c>
      <c r="G57" t="n">
        <v>1.0</v>
      </c>
      <c r="H57" t="n">
        <v>1.0</v>
      </c>
      <c r="I57" t="n">
        <v>0.0</v>
      </c>
      <c r="J57" t="n">
        <v>2.0</v>
      </c>
      <c r="K57" t="n">
        <v>45.0</v>
      </c>
      <c r="L57" t="n">
        <v>20.0</v>
      </c>
      <c r="M57" t="n">
        <v>135.0</v>
      </c>
      <c r="N57" t="n">
        <v>2.0</v>
      </c>
      <c r="O57" t="n">
        <v>180.0</v>
      </c>
      <c r="P57" t="n">
        <v>25.0</v>
      </c>
      <c r="Q57" t="n">
        <v>270.0</v>
      </c>
      <c r="R57" t="n">
        <v>5.0</v>
      </c>
      <c r="S57" t="n">
        <v>45.0</v>
      </c>
      <c r="T57" t="n">
        <v>35.0</v>
      </c>
      <c r="U57" t="n">
        <v>20.0</v>
      </c>
      <c r="V57" t="n">
        <v>19.0</v>
      </c>
      <c r="W57" t="n">
        <v>5.0</v>
      </c>
      <c r="X57" t="s">
        <v>0</v>
      </c>
      <c r="Y57" t="s">
        <v>0</v>
      </c>
    </row>
    <row r="58" spans="2:25" ht="14.1" customHeight="1" x14ac:dyDescent="0.25">
      <c r="B58" t="s">
        <v>145</v>
      </c>
      <c r="C58" t="n">
        <v>2.0</v>
      </c>
      <c r="D58" t="n">
        <v>1.0</v>
      </c>
      <c r="E58" t="n">
        <v>3.0</v>
      </c>
      <c r="F58" t="n">
        <v>1.0</v>
      </c>
      <c r="G58" t="n">
        <v>1.0</v>
      </c>
      <c r="H58" t="n">
        <v>1.0</v>
      </c>
      <c r="I58" t="n">
        <v>225.0</v>
      </c>
      <c r="J58" t="n">
        <v>5.0</v>
      </c>
      <c r="K58" t="n">
        <v>0.0</v>
      </c>
      <c r="L58" t="n">
        <v>30.0</v>
      </c>
      <c r="M58" t="n">
        <v>45.0</v>
      </c>
      <c r="N58" t="n">
        <v>5.0</v>
      </c>
      <c r="O58" t="n">
        <v>45.0</v>
      </c>
      <c r="P58" t="n">
        <v>30.0</v>
      </c>
      <c r="Q58" t="n">
        <v>0.0</v>
      </c>
      <c r="R58" t="n">
        <v>5.0</v>
      </c>
      <c r="S58" t="n">
        <v>0.0</v>
      </c>
      <c r="T58" t="n">
        <v>35.0</v>
      </c>
      <c r="U58" t="n">
        <v>20.0</v>
      </c>
      <c r="V58" t="n">
        <v>18.0</v>
      </c>
      <c r="W58" t="n">
        <v>7.0</v>
      </c>
      <c r="X58" t="s">
        <v>0</v>
      </c>
      <c r="Y58" t="s">
        <v>187</v>
      </c>
    </row>
    <row r="59" spans="2:25" ht="14.1" customHeight="1" x14ac:dyDescent="0.25">
      <c r="B59" t="s">
        <v>146</v>
      </c>
      <c r="C59" t="n">
        <v>1.0</v>
      </c>
      <c r="D59" t="n">
        <v>1.0</v>
      </c>
      <c r="E59" t="n">
        <v>1.0</v>
      </c>
      <c r="F59" t="n">
        <v>1.0</v>
      </c>
      <c r="G59" t="n">
        <v>1.0</v>
      </c>
      <c r="H59" t="n">
        <v>1.0</v>
      </c>
      <c r="I59" t="n">
        <v>0.0</v>
      </c>
      <c r="J59" t="n">
        <v>5.0</v>
      </c>
      <c r="K59" t="n">
        <v>0.0</v>
      </c>
      <c r="L59" t="n">
        <v>40.0</v>
      </c>
      <c r="M59" t="n">
        <v>0.0</v>
      </c>
      <c r="N59" t="n">
        <v>2.0</v>
      </c>
      <c r="O59" t="n">
        <v>0.0</v>
      </c>
      <c r="P59" t="n">
        <v>20.0</v>
      </c>
      <c r="Q59" t="n">
        <v>315.0</v>
      </c>
      <c r="R59" t="n">
        <v>2.0</v>
      </c>
      <c r="S59" t="n">
        <v>315.0</v>
      </c>
      <c r="T59" t="n">
        <v>40.0</v>
      </c>
      <c r="U59" t="n">
        <v>17.0</v>
      </c>
      <c r="V59" t="n">
        <v>16.0</v>
      </c>
      <c r="W59" t="n">
        <v>2.0</v>
      </c>
      <c r="X59" t="s">
        <v>0</v>
      </c>
      <c r="Y59" t="s">
        <v>180</v>
      </c>
    </row>
    <row r="60" spans="2:25" ht="14.1" customHeight="1" x14ac:dyDescent="0.25">
      <c r="B60" t="s">
        <v>147</v>
      </c>
      <c r="C60" t="n">
        <v>1.0</v>
      </c>
      <c r="D60" t="n">
        <v>1.0</v>
      </c>
      <c r="E60" t="n">
        <v>3.0</v>
      </c>
      <c r="F60" t="n">
        <v>3.0</v>
      </c>
      <c r="G60" t="n">
        <v>2.0</v>
      </c>
      <c r="H60" t="n">
        <v>1.0</v>
      </c>
      <c r="I60" t="n">
        <v>270.0</v>
      </c>
      <c r="J60" t="n">
        <v>5.0</v>
      </c>
      <c r="K60" t="n">
        <v>315.0</v>
      </c>
      <c r="L60" t="n">
        <v>40.0</v>
      </c>
      <c r="M60" t="n">
        <v>270.0</v>
      </c>
      <c r="N60" t="n">
        <v>2.0</v>
      </c>
      <c r="O60" t="n">
        <v>315.0</v>
      </c>
      <c r="P60" t="n">
        <v>40.0</v>
      </c>
      <c r="Q60" t="n">
        <v>315.0</v>
      </c>
      <c r="R60" t="n">
        <v>10.0</v>
      </c>
      <c r="S60" t="n">
        <v>0.0</v>
      </c>
      <c r="T60" t="n">
        <v>45.0</v>
      </c>
      <c r="U60" t="n">
        <v>16.0</v>
      </c>
      <c r="V60" t="n">
        <v>12.0</v>
      </c>
      <c r="W60" t="n">
        <v>6.0</v>
      </c>
      <c r="X60" t="s">
        <v>0</v>
      </c>
      <c r="Y60" t="s">
        <v>188</v>
      </c>
    </row>
    <row r="61" spans="2:25" ht="14.1" customHeight="1" x14ac:dyDescent="0.25">
      <c r="B61" t="s">
        <v>148</v>
      </c>
      <c r="C61" t="n">
        <v>3.0</v>
      </c>
      <c r="D61" t="n">
        <v>2.0</v>
      </c>
      <c r="E61" t="n">
        <v>2.0</v>
      </c>
      <c r="F61" t="n">
        <v>1.0</v>
      </c>
      <c r="G61" t="n">
        <v>1.0</v>
      </c>
      <c r="H61" t="n">
        <v>1.0</v>
      </c>
      <c r="I61" t="n">
        <v>0.0</v>
      </c>
      <c r="J61" t="n">
        <v>10.0</v>
      </c>
      <c r="K61" t="n">
        <v>0.0</v>
      </c>
      <c r="L61" t="n">
        <v>45.0</v>
      </c>
      <c r="M61" t="n">
        <v>90.0</v>
      </c>
      <c r="N61" t="n">
        <v>5.0</v>
      </c>
      <c r="O61" t="n">
        <v>45.0</v>
      </c>
      <c r="P61" t="n">
        <v>45.0</v>
      </c>
      <c r="Q61" t="n">
        <v>45.0</v>
      </c>
      <c r="R61" t="n">
        <v>10.0</v>
      </c>
      <c r="S61" t="n">
        <v>0.0</v>
      </c>
      <c r="T61" t="n">
        <v>45.0</v>
      </c>
      <c r="U61" t="n">
        <v>13.0</v>
      </c>
      <c r="V61" t="n">
        <v>13.0</v>
      </c>
      <c r="W61" t="n">
        <v>3.0</v>
      </c>
      <c r="X61" t="s">
        <v>165</v>
      </c>
      <c r="Y61" t="s">
        <v>0</v>
      </c>
    </row>
    <row r="62" spans="2:25" ht="14.1" customHeight="1" x14ac:dyDescent="0.25">
      <c r="B62" t="s">
        <v>149</v>
      </c>
      <c r="C62" t="n">
        <v>1.0</v>
      </c>
      <c r="D62" t="n">
        <v>1.0</v>
      </c>
      <c r="E62" t="n">
        <v>1.0</v>
      </c>
      <c r="F62" t="n">
        <v>1.0</v>
      </c>
      <c r="G62" t="n">
        <v>1.0</v>
      </c>
      <c r="H62" t="n">
        <v>1.0</v>
      </c>
      <c r="I62" t="n">
        <v>0.0</v>
      </c>
      <c r="J62" t="n">
        <v>10.0</v>
      </c>
      <c r="K62" t="n">
        <v>45.0</v>
      </c>
      <c r="L62" t="n">
        <v>45.0</v>
      </c>
      <c r="M62" t="n">
        <v>0.0</v>
      </c>
      <c r="N62" t="n">
        <v>5.0</v>
      </c>
      <c r="O62" t="n">
        <v>45.0</v>
      </c>
      <c r="P62" t="n">
        <v>25.0</v>
      </c>
      <c r="Q62" t="n">
        <v>45.0</v>
      </c>
      <c r="R62" t="n">
        <v>10.0</v>
      </c>
      <c r="S62" t="n">
        <v>45.0</v>
      </c>
      <c r="T62" t="n">
        <v>40.0</v>
      </c>
      <c r="U62" t="n">
        <v>14.0</v>
      </c>
      <c r="V62" t="n">
        <v>17.0</v>
      </c>
      <c r="W62" t="n">
        <v>1.0</v>
      </c>
      <c r="X62" t="s">
        <v>0</v>
      </c>
      <c r="Y62" t="s">
        <v>0</v>
      </c>
    </row>
    <row r="63" spans="2:25" ht="14.1" customHeight="1" x14ac:dyDescent="0.25">
      <c r="B63" t="s">
        <v>150</v>
      </c>
      <c r="C63" t="n">
        <v>1.0</v>
      </c>
      <c r="D63" t="n">
        <v>1.0</v>
      </c>
      <c r="E63" t="n">
        <v>2.0</v>
      </c>
      <c r="F63" t="n">
        <v>1.0</v>
      </c>
      <c r="G63" t="n">
        <v>1.0</v>
      </c>
      <c r="H63" t="n">
        <v>2.0</v>
      </c>
      <c r="I63" t="n">
        <v>0.0</v>
      </c>
      <c r="J63" t="n">
        <v>10.0</v>
      </c>
      <c r="K63" t="n">
        <v>0.0</v>
      </c>
      <c r="L63" t="n">
        <v>40.0</v>
      </c>
      <c r="M63" t="n">
        <v>45.0</v>
      </c>
      <c r="N63" t="n">
        <v>2.0</v>
      </c>
      <c r="O63" t="n">
        <v>0.0</v>
      </c>
      <c r="P63" t="n">
        <v>25.0</v>
      </c>
      <c r="Q63" t="n">
        <v>0.0</v>
      </c>
      <c r="R63" t="n">
        <v>10.0</v>
      </c>
      <c r="S63" t="n">
        <v>0.0</v>
      </c>
      <c r="T63" t="n">
        <v>25.0</v>
      </c>
      <c r="U63" t="n">
        <v>16.0</v>
      </c>
      <c r="V63" t="n">
        <v>17.0</v>
      </c>
      <c r="W63" t="n">
        <v>2.0</v>
      </c>
      <c r="X63" t="s">
        <v>0</v>
      </c>
      <c r="Y63" t="s">
        <v>0</v>
      </c>
    </row>
    <row r="64" spans="2:25" ht="14.1" customHeight="1" x14ac:dyDescent="0.25">
      <c r="B64" t="s">
        <v>151</v>
      </c>
      <c r="C64" t="n">
        <v>2.0</v>
      </c>
      <c r="D64" t="n">
        <v>2.0</v>
      </c>
      <c r="E64" t="n">
        <v>1.0</v>
      </c>
      <c r="F64" t="n">
        <v>1.0</v>
      </c>
      <c r="G64" t="n">
        <v>1.0</v>
      </c>
      <c r="H64" t="n">
        <v>1.0</v>
      </c>
      <c r="I64" t="n">
        <v>0.0</v>
      </c>
      <c r="J64" t="n">
        <v>2.0</v>
      </c>
      <c r="K64" t="n">
        <v>0.0</v>
      </c>
      <c r="L64" t="n">
        <v>40.0</v>
      </c>
      <c r="M64" t="n">
        <v>45.0</v>
      </c>
      <c r="N64" t="n">
        <v>2.0</v>
      </c>
      <c r="O64" t="n">
        <v>45.0</v>
      </c>
      <c r="P64" t="n">
        <v>25.0</v>
      </c>
      <c r="Q64" t="n">
        <v>0.0</v>
      </c>
      <c r="R64" t="n">
        <v>2.0</v>
      </c>
      <c r="S64" t="n">
        <v>0.0</v>
      </c>
      <c r="T64" t="n">
        <v>40.0</v>
      </c>
      <c r="U64" t="n">
        <v>14.0</v>
      </c>
      <c r="V64" t="n">
        <v>16.0</v>
      </c>
      <c r="W64" t="n">
        <v>3.0</v>
      </c>
      <c r="X64" t="s">
        <v>165</v>
      </c>
      <c r="Y64" t="s">
        <v>180</v>
      </c>
    </row>
    <row r="65" spans="2:47" ht="14.1" customHeight="1" x14ac:dyDescent="0.25">
      <c r="B65" t="s">
        <v>152</v>
      </c>
      <c r="C65" t="n">
        <v>2.0</v>
      </c>
      <c r="D65" t="n">
        <v>2.0</v>
      </c>
      <c r="E65" t="n">
        <v>2.0</v>
      </c>
      <c r="F65" t="n">
        <v>1.0</v>
      </c>
      <c r="G65" t="n">
        <v>1.0</v>
      </c>
      <c r="H65" t="n">
        <v>1.0</v>
      </c>
      <c r="I65" t="n">
        <v>0.0</v>
      </c>
      <c r="J65" t="n">
        <v>2.0</v>
      </c>
      <c r="K65" t="n">
        <v>0.0</v>
      </c>
      <c r="L65" t="n">
        <v>40.0</v>
      </c>
      <c r="M65" t="n">
        <v>45.0</v>
      </c>
      <c r="N65" t="n">
        <v>2.0</v>
      </c>
      <c r="O65" t="n">
        <v>45.0</v>
      </c>
      <c r="P65" t="n">
        <v>25.0</v>
      </c>
      <c r="Q65" t="n">
        <v>0.0</v>
      </c>
      <c r="R65" t="n">
        <v>2.0</v>
      </c>
      <c r="S65" t="n">
        <v>0.0</v>
      </c>
      <c r="T65" t="n">
        <v>40.0</v>
      </c>
      <c r="U65" t="n">
        <v>16.0</v>
      </c>
      <c r="V65" t="n">
        <v>16.0</v>
      </c>
      <c r="W65" t="n">
        <v>2.0</v>
      </c>
      <c r="X65" t="s">
        <v>0</v>
      </c>
      <c r="Y65" t="s">
        <v>0</v>
      </c>
    </row>
    <row r="66" spans="2:47" ht="14.1" customHeight="1" x14ac:dyDescent="0.25">
      <c r="B66" t="s">
        <v>153</v>
      </c>
      <c r="C66" t="n">
        <v>1.0</v>
      </c>
      <c r="D66" t="n">
        <v>1.0</v>
      </c>
      <c r="E66" t="n">
        <v>1.0</v>
      </c>
      <c r="F66" t="n">
        <v>1.0</v>
      </c>
      <c r="G66" t="n">
        <v>1.0</v>
      </c>
      <c r="H66" t="n">
        <v>1.0</v>
      </c>
      <c r="I66" t="n">
        <v>0.0</v>
      </c>
      <c r="J66" t="n">
        <v>5.0</v>
      </c>
      <c r="K66" t="n">
        <v>0.0</v>
      </c>
      <c r="L66" t="n">
        <v>35.0</v>
      </c>
      <c r="M66" t="n">
        <v>0.0</v>
      </c>
      <c r="N66" t="n">
        <v>5.0</v>
      </c>
      <c r="O66" t="n">
        <v>0.0</v>
      </c>
      <c r="P66" t="n">
        <v>20.0</v>
      </c>
      <c r="Q66" t="n">
        <v>0.0</v>
      </c>
      <c r="R66" t="n">
        <v>5.0</v>
      </c>
      <c r="S66" t="n">
        <v>0.0</v>
      </c>
      <c r="T66" t="n">
        <v>35.0</v>
      </c>
      <c r="U66" t="n">
        <v>15.0</v>
      </c>
      <c r="V66" t="n">
        <v>13.0</v>
      </c>
      <c r="W66" t="n">
        <v>1.0</v>
      </c>
      <c r="X66" t="s">
        <v>0</v>
      </c>
      <c r="Y66" t="s">
        <v>0</v>
      </c>
    </row>
    <row r="67" spans="2:47" ht="14.1" customHeight="1" x14ac:dyDescent="0.25">
      <c r="B67" t="s">
        <v>154</v>
      </c>
      <c r="C67" t="n">
        <v>1.0</v>
      </c>
      <c r="D67" t="n">
        <v>1.0</v>
      </c>
      <c r="E67" t="n">
        <v>1.0</v>
      </c>
      <c r="F67" t="n">
        <v>1.0</v>
      </c>
      <c r="G67" t="n">
        <v>1.0</v>
      </c>
      <c r="H67" t="n">
        <v>1.0</v>
      </c>
      <c r="I67" t="n">
        <v>0.0</v>
      </c>
      <c r="J67" t="n">
        <v>5.0</v>
      </c>
      <c r="K67" t="n">
        <v>0.0</v>
      </c>
      <c r="L67" t="n">
        <v>30.0</v>
      </c>
      <c r="M67" t="n">
        <v>0.0</v>
      </c>
      <c r="N67" t="n">
        <v>2.0</v>
      </c>
      <c r="O67" t="n">
        <v>315.0</v>
      </c>
      <c r="P67" t="n">
        <v>25.0</v>
      </c>
      <c r="Q67" t="n">
        <v>0.0</v>
      </c>
      <c r="R67" t="n">
        <v>5.0</v>
      </c>
      <c r="S67" t="n">
        <v>45.0</v>
      </c>
      <c r="T67" t="n">
        <v>35.0</v>
      </c>
      <c r="U67" t="n">
        <v>13.0</v>
      </c>
      <c r="V67" t="n">
        <v>12.0</v>
      </c>
      <c r="W67" t="n">
        <v>1.0</v>
      </c>
      <c r="X67" t="s">
        <v>0</v>
      </c>
      <c r="Y67" t="s">
        <v>187</v>
      </c>
    </row>
    <row r="68" spans="2:47" ht="14.1" customHeight="1" x14ac:dyDescent="0.25">
      <c r="B68" t="s">
        <v>155</v>
      </c>
      <c r="C68" t="n">
        <v>1.0</v>
      </c>
      <c r="D68" t="n">
        <v>1.0</v>
      </c>
      <c r="E68" t="n">
        <v>1.0</v>
      </c>
      <c r="F68" t="n">
        <v>1.0</v>
      </c>
      <c r="G68" t="n">
        <v>1.0</v>
      </c>
      <c r="H68" t="n">
        <v>3.0</v>
      </c>
      <c r="I68" t="n">
        <v>0.0</v>
      </c>
      <c r="J68" t="n">
        <v>5.0</v>
      </c>
      <c r="K68" t="n">
        <v>0.0</v>
      </c>
      <c r="L68" t="n">
        <v>35.0</v>
      </c>
      <c r="M68" t="n">
        <v>0.0</v>
      </c>
      <c r="N68" t="n">
        <v>2.0</v>
      </c>
      <c r="O68" t="n">
        <v>45.0</v>
      </c>
      <c r="P68" t="n">
        <v>25.0</v>
      </c>
      <c r="Q68" t="n">
        <v>315.0</v>
      </c>
      <c r="R68" t="n">
        <v>5.0</v>
      </c>
      <c r="S68" t="n">
        <v>315.0</v>
      </c>
      <c r="T68" t="n">
        <v>35.0</v>
      </c>
      <c r="U68" t="n">
        <v>12.0</v>
      </c>
      <c r="V68" t="n">
        <v>13.0</v>
      </c>
      <c r="W68" t="n">
        <v>-2.0</v>
      </c>
      <c r="X68" t="s">
        <v>165</v>
      </c>
      <c r="Y68" t="s">
        <v>0</v>
      </c>
    </row>
    <row r="69" spans="2:47" ht="14.1" customHeight="1" x14ac:dyDescent="0.25">
      <c r="B69" t="s">
        <v>156</v>
      </c>
      <c r="C69" t="n">
        <v>1.0</v>
      </c>
      <c r="D69" t="n">
        <v>3.0</v>
      </c>
      <c r="E69" t="n">
        <v>4.0</v>
      </c>
      <c r="F69" t="n">
        <v>3.0</v>
      </c>
      <c r="G69" t="n">
        <v>2.0</v>
      </c>
      <c r="H69" t="n">
        <v>1.0</v>
      </c>
      <c r="I69" t="n">
        <v>270.0</v>
      </c>
      <c r="J69" t="n">
        <v>2.0</v>
      </c>
      <c r="K69" t="n">
        <v>315.0</v>
      </c>
      <c r="L69" t="n">
        <v>30.0</v>
      </c>
      <c r="M69" t="n">
        <v>180.0</v>
      </c>
      <c r="N69" t="n">
        <v>5.0</v>
      </c>
      <c r="O69" t="n">
        <v>225.0</v>
      </c>
      <c r="P69" t="n">
        <v>35.0</v>
      </c>
      <c r="Q69" t="n">
        <v>180.0</v>
      </c>
      <c r="R69" t="n">
        <v>2.0</v>
      </c>
      <c r="S69" t="n">
        <v>315.0</v>
      </c>
      <c r="T69" t="n">
        <v>30.0</v>
      </c>
      <c r="U69" t="n">
        <v>13.0</v>
      </c>
      <c r="V69" t="n">
        <v>7.0</v>
      </c>
      <c r="W69" t="n">
        <v>0.0</v>
      </c>
      <c r="X69" t="s">
        <v>0</v>
      </c>
      <c r="Y69" t="s">
        <v>189</v>
      </c>
    </row>
    <row r="70" spans="2:47" ht="14.1" customHeight="1" x14ac:dyDescent="0.25">
      <c r="B70" t="s">
        <v>157</v>
      </c>
      <c r="C70" t="n">
        <v>3.0</v>
      </c>
      <c r="D70" t="n">
        <v>2.0</v>
      </c>
      <c r="E70" t="n">
        <v>3.0</v>
      </c>
      <c r="F70" t="n">
        <v>3.0</v>
      </c>
      <c r="G70" t="n">
        <v>2.0</v>
      </c>
      <c r="H70" t="n">
        <v>1.0</v>
      </c>
      <c r="I70" t="n">
        <v>180.0</v>
      </c>
      <c r="J70" t="n">
        <v>2.0</v>
      </c>
      <c r="K70" t="n">
        <v>270.0</v>
      </c>
      <c r="L70" t="n">
        <v>30.0</v>
      </c>
      <c r="M70" t="n">
        <v>135.0</v>
      </c>
      <c r="N70" t="n">
        <v>2.0</v>
      </c>
      <c r="O70" t="n">
        <v>225.0</v>
      </c>
      <c r="P70" t="n">
        <v>15.0</v>
      </c>
      <c r="Q70" t="n">
        <v>270.0</v>
      </c>
      <c r="R70" t="n">
        <v>2.0</v>
      </c>
      <c r="S70" t="n">
        <v>45.0</v>
      </c>
      <c r="T70" t="n">
        <v>30.0</v>
      </c>
      <c r="U70" t="n">
        <v>8.0</v>
      </c>
      <c r="V70" t="n">
        <v>9.0</v>
      </c>
      <c r="W70" t="n">
        <v>-2.0</v>
      </c>
      <c r="X70" t="s">
        <v>171</v>
      </c>
      <c r="Y70" t="s">
        <v>171</v>
      </c>
    </row>
    <row r="71" spans="2:47" ht="14.1" customHeight="1" x14ac:dyDescent="0.25">
      <c r="B71" t="s">
        <v>158</v>
      </c>
      <c r="C71" t="n">
        <v>2.0</v>
      </c>
      <c r="D71" t="n">
        <v>1.0</v>
      </c>
      <c r="E71" t="n">
        <v>2.0</v>
      </c>
      <c r="F71" t="n">
        <v>1.0</v>
      </c>
      <c r="G71" t="n">
        <v>1.0</v>
      </c>
      <c r="H71" t="n">
        <v>1.0</v>
      </c>
      <c r="I71" t="n">
        <v>315.0</v>
      </c>
      <c r="J71" t="n">
        <v>5.0</v>
      </c>
      <c r="K71" t="n">
        <v>45.0</v>
      </c>
      <c r="L71" t="n">
        <v>25.0</v>
      </c>
      <c r="M71" t="n">
        <v>45.0</v>
      </c>
      <c r="N71" t="n">
        <v>2.0</v>
      </c>
      <c r="O71" t="n">
        <v>0.0</v>
      </c>
      <c r="P71" t="n">
        <v>15.0</v>
      </c>
      <c r="Q71" t="n">
        <v>135.0</v>
      </c>
      <c r="R71" t="n">
        <v>2.0</v>
      </c>
      <c r="S71" t="n">
        <v>270.0</v>
      </c>
      <c r="T71" t="n">
        <v>15.0</v>
      </c>
      <c r="U71" t="n">
        <v>9.0</v>
      </c>
      <c r="V71" t="n">
        <v>11.0</v>
      </c>
      <c r="W71" t="n">
        <v>0.0</v>
      </c>
      <c r="X71" t="s">
        <v>171</v>
      </c>
      <c r="Y71" t="s">
        <v>187</v>
      </c>
    </row>
    <row r="72" spans="2:47" ht="14.1" customHeight="1" x14ac:dyDescent="0.25">
      <c r="B72" t="s">
        <v>159</v>
      </c>
      <c r="C72" t="n">
        <v>1.0</v>
      </c>
      <c r="D72" t="n">
        <v>1.0</v>
      </c>
      <c r="E72" t="n">
        <v>1.0</v>
      </c>
      <c r="F72" t="n">
        <v>1.0</v>
      </c>
      <c r="G72" t="n">
        <v>2.0</v>
      </c>
      <c r="H72" t="n">
        <v>3.0</v>
      </c>
      <c r="I72" t="n">
        <v>225.0</v>
      </c>
      <c r="J72" t="n">
        <v>2.0</v>
      </c>
      <c r="K72" t="n">
        <v>0.0</v>
      </c>
      <c r="L72" t="n">
        <v>20.0</v>
      </c>
      <c r="M72" t="n">
        <v>45.0</v>
      </c>
      <c r="N72" t="n">
        <v>2.0</v>
      </c>
      <c r="O72" t="n">
        <v>45.0</v>
      </c>
      <c r="P72" t="n">
        <v>15.0</v>
      </c>
      <c r="Q72" t="n">
        <v>225.0</v>
      </c>
      <c r="R72" t="n">
        <v>2.0</v>
      </c>
      <c r="S72" t="n">
        <v>0.0</v>
      </c>
      <c r="T72" t="n">
        <v>30.0</v>
      </c>
      <c r="U72" t="n">
        <v>10.0</v>
      </c>
      <c r="V72" t="n">
        <v>13.0</v>
      </c>
      <c r="W72" t="n">
        <v>-1.0</v>
      </c>
      <c r="X72" t="s">
        <v>0</v>
      </c>
      <c r="Y72" t="s">
        <v>165</v>
      </c>
    </row>
    <row r="73" spans="2:47" ht="14.1" customHeight="1" x14ac:dyDescent="0.25">
      <c r="B73" t="s">
        <v>160</v>
      </c>
      <c r="C73" t="n">
        <v>1.0</v>
      </c>
      <c r="D73" t="n">
        <v>3.0</v>
      </c>
      <c r="E73" t="n">
        <v>1.0</v>
      </c>
      <c r="F73" t="n">
        <v>1.0</v>
      </c>
      <c r="G73" t="n">
        <v>1.0</v>
      </c>
      <c r="H73" t="n">
        <v>1.0</v>
      </c>
      <c r="I73" t="n">
        <v>225.0</v>
      </c>
      <c r="J73" t="n">
        <v>2.0</v>
      </c>
      <c r="K73" t="n">
        <v>90.0</v>
      </c>
      <c r="L73" t="n">
        <v>30.0</v>
      </c>
      <c r="M73" t="n">
        <v>45.0</v>
      </c>
      <c r="N73" t="n">
        <v>2.0</v>
      </c>
      <c r="O73" t="n">
        <v>90.0</v>
      </c>
      <c r="P73" t="n">
        <v>25.0</v>
      </c>
      <c r="Q73" t="n">
        <v>45.0</v>
      </c>
      <c r="R73" t="n">
        <v>5.0</v>
      </c>
      <c r="S73" t="n">
        <v>0.0</v>
      </c>
      <c r="T73" t="n">
        <v>30.0</v>
      </c>
      <c r="U73" t="n">
        <v>12.0</v>
      </c>
      <c r="V73" t="n">
        <v>16.0</v>
      </c>
      <c r="W73" t="n">
        <v>2.0</v>
      </c>
      <c r="X73" t="s">
        <v>165</v>
      </c>
      <c r="Y73" t="s">
        <v>0</v>
      </c>
    </row>
    <row r="74" spans="2:47" ht="14.1" customHeight="1" x14ac:dyDescent="0.25">
      <c r="B74" t="s">
        <v>161</v>
      </c>
      <c r="C74" t="n">
        <v>1.0</v>
      </c>
      <c r="D74" t="n">
        <v>1.0</v>
      </c>
      <c r="E74" t="n">
        <v>1.0</v>
      </c>
      <c r="F74" t="n">
        <v>1.0</v>
      </c>
      <c r="G74" t="n">
        <v>2.0</v>
      </c>
      <c r="H74" t="n">
        <v>1.0</v>
      </c>
      <c r="I74" t="n">
        <v>45.0</v>
      </c>
      <c r="J74" t="n">
        <v>2.0</v>
      </c>
      <c r="K74" t="n">
        <v>0.0</v>
      </c>
      <c r="L74" t="n">
        <v>30.0</v>
      </c>
      <c r="M74" t="n">
        <v>90.0</v>
      </c>
      <c r="N74" t="n">
        <v>2.0</v>
      </c>
      <c r="O74" t="n">
        <v>45.0</v>
      </c>
      <c r="P74" t="n">
        <v>25.0</v>
      </c>
      <c r="Q74" t="n">
        <v>0.0</v>
      </c>
      <c r="R74" t="n">
        <v>2.0</v>
      </c>
      <c r="S74" t="n">
        <v>0.0</v>
      </c>
      <c r="T74" t="n">
        <v>30.0</v>
      </c>
      <c r="U74" t="n">
        <v>15.0</v>
      </c>
      <c r="V74" t="n">
        <v>16.0</v>
      </c>
      <c r="W74" t="n">
        <v>3.0</v>
      </c>
      <c r="X74" t="s">
        <v>0</v>
      </c>
      <c r="Y74" t="s">
        <v>0</v>
      </c>
    </row>
    <row r="78" spans="2:47" ht="14.1" customHeight="1" thickBot="1" x14ac:dyDescent="0.3"/>
    <row r="79" spans="2:47" s="178" customFormat="1" ht="24.95" customHeight="1" thickBot="1" x14ac:dyDescent="0.3">
      <c r="B79" s="241" t="s">
        <v>5</v>
      </c>
      <c r="C79" s="244" t="s">
        <v>109</v>
      </c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6"/>
      <c r="P79" s="250" t="s">
        <v>110</v>
      </c>
      <c r="Q79" s="251"/>
      <c r="R79" s="251"/>
      <c r="S79" s="251"/>
      <c r="T79" s="251"/>
      <c r="U79" s="252"/>
      <c r="V79" s="253" t="s">
        <v>22</v>
      </c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5"/>
    </row>
    <row r="80" spans="2:47" s="178" customFormat="1" ht="24.95" customHeight="1" thickBot="1" x14ac:dyDescent="0.3">
      <c r="B80" s="242"/>
      <c r="C80" s="247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9"/>
      <c r="P80" s="256" t="s">
        <v>95</v>
      </c>
      <c r="Q80" s="257"/>
      <c r="R80" s="256" t="s">
        <v>96</v>
      </c>
      <c r="S80" s="257"/>
      <c r="T80" s="256" t="s">
        <v>97</v>
      </c>
      <c r="U80" s="257"/>
      <c r="V80" s="179" t="s">
        <v>23</v>
      </c>
      <c r="W80" s="180" t="s">
        <v>24</v>
      </c>
      <c r="X80" s="179" t="s">
        <v>23</v>
      </c>
      <c r="Y80" s="180" t="s">
        <v>24</v>
      </c>
      <c r="Z80" s="179" t="s">
        <v>23</v>
      </c>
      <c r="AA80" s="180" t="s">
        <v>24</v>
      </c>
      <c r="AB80" s="179" t="s">
        <v>23</v>
      </c>
      <c r="AC80" s="180" t="s">
        <v>24</v>
      </c>
      <c r="AD80" s="179" t="s">
        <v>23</v>
      </c>
      <c r="AE80" s="180" t="s">
        <v>24</v>
      </c>
      <c r="AF80" s="179" t="s">
        <v>23</v>
      </c>
      <c r="AG80" s="180" t="s">
        <v>24</v>
      </c>
      <c r="AH80" s="179" t="s">
        <v>23</v>
      </c>
      <c r="AI80" s="180" t="s">
        <v>24</v>
      </c>
      <c r="AJ80" s="179" t="s">
        <v>23</v>
      </c>
      <c r="AK80" s="180" t="s">
        <v>24</v>
      </c>
      <c r="AL80" s="179" t="s">
        <v>23</v>
      </c>
      <c r="AM80" s="180" t="s">
        <v>24</v>
      </c>
      <c r="AN80" s="179" t="s">
        <v>23</v>
      </c>
      <c r="AO80" s="180" t="s">
        <v>24</v>
      </c>
      <c r="AP80" s="179" t="s">
        <v>23</v>
      </c>
      <c r="AQ80" s="180" t="s">
        <v>24</v>
      </c>
      <c r="AR80" s="179" t="s">
        <v>23</v>
      </c>
      <c r="AS80" s="180" t="s">
        <v>24</v>
      </c>
      <c r="AT80" s="179" t="s">
        <v>23</v>
      </c>
      <c r="AU80" s="180" t="s">
        <v>24</v>
      </c>
    </row>
    <row r="81" spans="2:48" s="178" customFormat="1" ht="24.95" customHeight="1" x14ac:dyDescent="0.25">
      <c r="B81" s="243"/>
      <c r="C81" s="236" t="s">
        <v>7</v>
      </c>
      <c r="D81" s="236" t="s">
        <v>19</v>
      </c>
      <c r="E81" s="236" t="s">
        <v>8</v>
      </c>
      <c r="F81" s="236" t="s">
        <v>9</v>
      </c>
      <c r="G81" s="236" t="s">
        <v>10</v>
      </c>
      <c r="H81" s="236" t="s">
        <v>11</v>
      </c>
      <c r="I81" s="236" t="s">
        <v>12</v>
      </c>
      <c r="J81" s="236" t="s">
        <v>13</v>
      </c>
      <c r="K81" s="236" t="s">
        <v>14</v>
      </c>
      <c r="L81" s="236" t="s">
        <v>15</v>
      </c>
      <c r="M81" s="236" t="s">
        <v>16</v>
      </c>
      <c r="N81" s="236" t="s">
        <v>17</v>
      </c>
      <c r="O81" s="236" t="s">
        <v>18</v>
      </c>
      <c r="P81" s="258" t="s">
        <v>94</v>
      </c>
      <c r="Q81" s="259"/>
      <c r="R81" s="258" t="s">
        <v>94</v>
      </c>
      <c r="S81" s="259"/>
      <c r="T81" s="258" t="s">
        <v>94</v>
      </c>
      <c r="U81" s="259"/>
      <c r="V81" s="179" t="s">
        <v>7</v>
      </c>
      <c r="W81" s="237" t="s">
        <v>7</v>
      </c>
      <c r="X81" s="238" t="s">
        <v>19</v>
      </c>
      <c r="Y81" s="237" t="s">
        <v>19</v>
      </c>
      <c r="Z81" s="238" t="s">
        <v>8</v>
      </c>
      <c r="AA81" s="237" t="s">
        <v>10</v>
      </c>
      <c r="AB81" s="238" t="s">
        <v>9</v>
      </c>
      <c r="AC81" s="237" t="s">
        <v>9</v>
      </c>
      <c r="AD81" s="238" t="s">
        <v>10</v>
      </c>
      <c r="AE81" s="237" t="s">
        <v>10</v>
      </c>
      <c r="AF81" s="238" t="s">
        <v>11</v>
      </c>
      <c r="AG81" s="237" t="s">
        <v>11</v>
      </c>
      <c r="AH81" s="238" t="s">
        <v>12</v>
      </c>
      <c r="AI81" s="237" t="s">
        <v>12</v>
      </c>
      <c r="AJ81" s="238" t="s">
        <v>13</v>
      </c>
      <c r="AK81" s="237" t="s">
        <v>13</v>
      </c>
      <c r="AL81" s="238" t="s">
        <v>14</v>
      </c>
      <c r="AM81" s="237" t="s">
        <v>14</v>
      </c>
      <c r="AN81" s="238" t="s">
        <v>15</v>
      </c>
      <c r="AO81" s="237" t="s">
        <v>15</v>
      </c>
      <c r="AP81" s="238" t="s">
        <v>16</v>
      </c>
      <c r="AQ81" s="237" t="s">
        <v>16</v>
      </c>
      <c r="AR81" s="238" t="s">
        <v>17</v>
      </c>
      <c r="AS81" s="237" t="s">
        <v>17</v>
      </c>
      <c r="AT81" s="238" t="s">
        <v>18</v>
      </c>
      <c r="AU81" s="237" t="s">
        <v>18</v>
      </c>
    </row>
    <row r="82" spans="2:48" ht="14.1" customHeight="1" x14ac:dyDescent="0.25">
      <c r="B82" t="s">
        <v>164</v>
      </c>
      <c r="C82"/>
      <c r="D82"/>
      <c r="E82"/>
      <c r="F82"/>
      <c r="G82"/>
      <c r="H82"/>
      <c r="I82"/>
      <c r="J82"/>
      <c r="K82"/>
      <c r="L82"/>
      <c r="M82"/>
      <c r="N82"/>
      <c r="O82"/>
      <c r="P82" t="n">
        <v>3.0</v>
      </c>
      <c r="Q82" t="n">
        <v>3.0</v>
      </c>
      <c r="R82" t="n">
        <v>3.0</v>
      </c>
      <c r="S82" t="n">
        <v>1.0</v>
      </c>
      <c r="T82" t="n">
        <v>1.0</v>
      </c>
      <c r="U82" t="n">
        <v>1.0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 s="221"/>
    </row>
    <row r="83" spans="2:48" ht="14.1" customHeight="1" x14ac:dyDescent="0.25">
      <c r="B83" t="s">
        <v>131</v>
      </c>
      <c r="C83" t="n">
        <v>4.0</v>
      </c>
      <c r="D83" t="n">
        <v>5.0</v>
      </c>
      <c r="E83" t="n">
        <v>6.0</v>
      </c>
      <c r="F83" t="n">
        <v>7.0</v>
      </c>
      <c r="G83" t="n">
        <v>5.0</v>
      </c>
      <c r="H83" t="n">
        <v>5.0</v>
      </c>
      <c r="I83" t="n">
        <v>5.0</v>
      </c>
      <c r="J83" t="n">
        <v>5.0</v>
      </c>
      <c r="K83" t="n">
        <v>5.0</v>
      </c>
      <c r="L83" t="n">
        <v>7.0</v>
      </c>
      <c r="M83" t="n">
        <v>7.0</v>
      </c>
      <c r="N83" t="n">
        <v>7.0</v>
      </c>
      <c r="O83" t="n">
        <v>7.0</v>
      </c>
      <c r="P83" t="n">
        <v>3.0</v>
      </c>
      <c r="Q83" t="n">
        <v>1.0</v>
      </c>
      <c r="R83" t="n">
        <v>1.0</v>
      </c>
      <c r="S83" t="n">
        <v>1.0</v>
      </c>
      <c r="T83" t="n">
        <v>1.0</v>
      </c>
      <c r="U83" t="n">
        <v>0.0</v>
      </c>
      <c r="V83" t="n">
        <v>330.0</v>
      </c>
      <c r="W83" t="n">
        <v>3.0</v>
      </c>
      <c r="X83" t="n">
        <v>350.0</v>
      </c>
      <c r="Y83" t="n">
        <v>5.0</v>
      </c>
      <c r="Z83" t="n">
        <v>360.0</v>
      </c>
      <c r="AA83" t="n">
        <v>6.0</v>
      </c>
      <c r="AB83" t="n">
        <v>20.0</v>
      </c>
      <c r="AC83" t="n">
        <v>4.0</v>
      </c>
      <c r="AD83" t="n">
        <v>360.0</v>
      </c>
      <c r="AE83" t="n">
        <v>6.0</v>
      </c>
      <c r="AF83" t="n">
        <v>360.0</v>
      </c>
      <c r="AG83" t="n">
        <v>3.0</v>
      </c>
      <c r="AH83" t="n">
        <v>170.0</v>
      </c>
      <c r="AI83" t="n">
        <v>3.0</v>
      </c>
      <c r="AJ83" t="n">
        <v>160.0</v>
      </c>
      <c r="AK83" t="n">
        <v>6.0</v>
      </c>
      <c r="AL83" t="n">
        <v>150.0</v>
      </c>
      <c r="AM83" t="n">
        <v>3.0</v>
      </c>
      <c r="AN83" t="n">
        <v>210.0</v>
      </c>
      <c r="AO83" t="n">
        <v>5.0</v>
      </c>
      <c r="AP83" t="n">
        <v>210.0</v>
      </c>
      <c r="AQ83" t="n">
        <v>4.0</v>
      </c>
      <c r="AR83" t="n">
        <v>240.0</v>
      </c>
      <c r="AS83" t="n">
        <v>3.0</v>
      </c>
      <c r="AT83" t="n">
        <v>360.0</v>
      </c>
      <c r="AU83" t="n">
        <v>3.0</v>
      </c>
      <c r="AV83" s="221"/>
    </row>
    <row r="84" spans="2:48" ht="14.1" customHeight="1" x14ac:dyDescent="0.25">
      <c r="B84" t="s">
        <v>132</v>
      </c>
      <c r="C84" t="n">
        <v>2.0</v>
      </c>
      <c r="D84" t="n">
        <v>2.0</v>
      </c>
      <c r="E84" t="n">
        <v>2.0</v>
      </c>
      <c r="F84" t="n">
        <v>1.0</v>
      </c>
      <c r="G84" t="n">
        <v>1.0</v>
      </c>
      <c r="H84" t="n">
        <v>1.0</v>
      </c>
      <c r="I84" t="n">
        <v>2.0</v>
      </c>
      <c r="J84" t="n">
        <v>2.0</v>
      </c>
      <c r="K84" t="n">
        <v>2.0</v>
      </c>
      <c r="L84" t="n">
        <v>2.0</v>
      </c>
      <c r="M84" t="n">
        <v>2.0</v>
      </c>
      <c r="N84" t="n">
        <v>2.0</v>
      </c>
      <c r="O84" t="n">
        <v>2.0</v>
      </c>
      <c r="P84" t="n">
        <v>0.0</v>
      </c>
      <c r="Q84" t="n">
        <v>0.0</v>
      </c>
      <c r="R84" t="n">
        <v>0.0</v>
      </c>
      <c r="S84" t="n">
        <v>0.0</v>
      </c>
      <c r="T84" t="n">
        <v>2.0</v>
      </c>
      <c r="U84" t="n">
        <v>1.0</v>
      </c>
      <c r="V84" t="n">
        <v>60.0</v>
      </c>
      <c r="W84" t="n">
        <v>6.0</v>
      </c>
      <c r="X84" t="n">
        <v>60.0</v>
      </c>
      <c r="Y84" t="n">
        <v>5.0</v>
      </c>
      <c r="Z84" t="n">
        <v>80.0</v>
      </c>
      <c r="AA84" t="n">
        <v>4.0</v>
      </c>
      <c r="AB84" t="n">
        <v>90.0</v>
      </c>
      <c r="AC84" t="n">
        <v>2.0</v>
      </c>
      <c r="AD84" t="n">
        <v>110.0</v>
      </c>
      <c r="AE84" t="n">
        <v>7.0</v>
      </c>
      <c r="AF84" t="n">
        <v>130.0</v>
      </c>
      <c r="AG84" t="n">
        <v>8.0</v>
      </c>
      <c r="AH84" t="n">
        <v>160.0</v>
      </c>
      <c r="AI84" t="n">
        <v>4.0</v>
      </c>
      <c r="AJ84" t="n">
        <v>60.0</v>
      </c>
      <c r="AK84" t="n">
        <v>2.0</v>
      </c>
      <c r="AL84" t="n">
        <v>350.0</v>
      </c>
      <c r="AM84" t="n">
        <v>2.0</v>
      </c>
      <c r="AN84" t="n">
        <v>30.0</v>
      </c>
      <c r="AO84" t="n">
        <v>4.0</v>
      </c>
      <c r="AP84" t="n">
        <v>20.0</v>
      </c>
      <c r="AQ84" t="n">
        <v>6.0</v>
      </c>
      <c r="AR84" t="n">
        <v>20.0</v>
      </c>
      <c r="AS84" t="n">
        <v>5.0</v>
      </c>
      <c r="AT84" t="n">
        <v>10.0</v>
      </c>
      <c r="AU84" t="n">
        <v>6.0</v>
      </c>
      <c r="AV84" s="221"/>
    </row>
    <row r="85" spans="2:48" ht="14.1" customHeight="1" x14ac:dyDescent="0.25">
      <c r="B85" t="s">
        <v>133</v>
      </c>
      <c r="C85" t="n">
        <v>0.0</v>
      </c>
      <c r="D85" t="n">
        <v>0.0</v>
      </c>
      <c r="E85" t="n">
        <v>0.0</v>
      </c>
      <c r="F85" t="n">
        <v>2.0</v>
      </c>
      <c r="G85" t="n">
        <v>2.0</v>
      </c>
      <c r="H85" t="n">
        <v>4.0</v>
      </c>
      <c r="I85" t="n">
        <v>4.0</v>
      </c>
      <c r="J85" t="n">
        <v>4.0</v>
      </c>
      <c r="K85" t="n">
        <v>4.0</v>
      </c>
      <c r="L85" t="n">
        <v>4.0</v>
      </c>
      <c r="M85" t="n">
        <v>2.0</v>
      </c>
      <c r="N85" t="n">
        <v>2.0</v>
      </c>
      <c r="O85" t="n">
        <v>3.0</v>
      </c>
      <c r="P85" t="n">
        <v>3.0</v>
      </c>
      <c r="Q85" t="n">
        <v>1.0</v>
      </c>
      <c r="R85" t="n">
        <v>1.0</v>
      </c>
      <c r="S85" t="n">
        <v>1.0</v>
      </c>
      <c r="T85" t="n">
        <v>1.0</v>
      </c>
      <c r="U85" t="n">
        <v>2.0</v>
      </c>
      <c r="V85" t="n">
        <v>70.0</v>
      </c>
      <c r="W85" t="n">
        <v>3.0</v>
      </c>
      <c r="X85" t="n">
        <v>130.0</v>
      </c>
      <c r="Y85" t="n">
        <v>4.0</v>
      </c>
      <c r="Z85" t="n">
        <v>120.0</v>
      </c>
      <c r="AA85" t="n">
        <v>3.0</v>
      </c>
      <c r="AB85" t="n">
        <v>110.0</v>
      </c>
      <c r="AC85" t="n">
        <v>3.0</v>
      </c>
      <c r="AD85" t="n">
        <v>110.0</v>
      </c>
      <c r="AE85" t="n">
        <v>3.0</v>
      </c>
      <c r="AF85" t="n">
        <v>20.0</v>
      </c>
      <c r="AG85" t="n">
        <v>1.0</v>
      </c>
      <c r="AH85" t="n">
        <v>80.0</v>
      </c>
      <c r="AI85" t="n">
        <v>1.0</v>
      </c>
      <c r="AJ85" t="n">
        <v>10.0</v>
      </c>
      <c r="AK85" t="n">
        <v>7.0</v>
      </c>
      <c r="AL85" t="n">
        <v>20.0</v>
      </c>
      <c r="AM85" t="n">
        <v>7.0</v>
      </c>
      <c r="AN85" t="n">
        <v>10.0</v>
      </c>
      <c r="AO85" t="n">
        <v>10.0</v>
      </c>
      <c r="AP85" t="n">
        <v>10.0</v>
      </c>
      <c r="AQ85" t="n">
        <v>12.0</v>
      </c>
      <c r="AR85" t="n">
        <v>30.0</v>
      </c>
      <c r="AS85" t="n">
        <v>11.0</v>
      </c>
      <c r="AT85" t="n">
        <v>30.0</v>
      </c>
      <c r="AU85" t="n">
        <v>11.0</v>
      </c>
      <c r="AV85" s="221"/>
    </row>
    <row r="86" spans="2:48" ht="14.1" customHeight="1" x14ac:dyDescent="0.25">
      <c r="B86" t="s">
        <v>134</v>
      </c>
      <c r="C86" t="n">
        <v>0.0</v>
      </c>
      <c r="D86" t="n">
        <v>0.0</v>
      </c>
      <c r="E86" t="n">
        <v>0.0</v>
      </c>
      <c r="F86" t="n">
        <v>0.0</v>
      </c>
      <c r="G86" t="n">
        <v>2.0</v>
      </c>
      <c r="H86" t="n">
        <v>2.0</v>
      </c>
      <c r="I86" t="n">
        <v>2.0</v>
      </c>
      <c r="J86" t="n">
        <v>2.0</v>
      </c>
      <c r="K86" t="n">
        <v>2.0</v>
      </c>
      <c r="L86" t="n">
        <v>2.0</v>
      </c>
      <c r="M86" t="n">
        <v>2.0</v>
      </c>
      <c r="N86" t="n">
        <v>4.0</v>
      </c>
      <c r="O86" t="n">
        <v>4.0</v>
      </c>
      <c r="P86" t="n">
        <v>2.0</v>
      </c>
      <c r="Q86" t="n">
        <v>1.0</v>
      </c>
      <c r="R86" t="n">
        <v>1.0</v>
      </c>
      <c r="S86" t="n">
        <v>1.0</v>
      </c>
      <c r="T86" t="n">
        <v>0.0</v>
      </c>
      <c r="U86" t="n">
        <v>0.0</v>
      </c>
      <c r="V86" t="n">
        <v>80.0</v>
      </c>
      <c r="W86" t="n">
        <v>3.0</v>
      </c>
      <c r="X86" t="n">
        <v>90.0</v>
      </c>
      <c r="Y86" t="n">
        <v>2.0</v>
      </c>
      <c r="Z86" t="n">
        <v>60.0</v>
      </c>
      <c r="AA86" t="n">
        <v>3.0</v>
      </c>
      <c r="AB86" t="n">
        <v>70.0</v>
      </c>
      <c r="AC86" t="n">
        <v>3.0</v>
      </c>
      <c r="AD86" t="n">
        <v>100.0</v>
      </c>
      <c r="AE86" t="n">
        <v>4.0</v>
      </c>
      <c r="AF86" t="n">
        <v>120.0</v>
      </c>
      <c r="AG86" t="n">
        <v>6.0</v>
      </c>
      <c r="AH86" t="n">
        <v>120.0</v>
      </c>
      <c r="AI86" t="n">
        <v>4.0</v>
      </c>
      <c r="AJ86" t="n">
        <v>210.0</v>
      </c>
      <c r="AK86" t="n">
        <v>2.0</v>
      </c>
      <c r="AL86" t="n">
        <v>70.0</v>
      </c>
      <c r="AM86" t="n">
        <v>3.0</v>
      </c>
      <c r="AN86" t="n">
        <v>30.0</v>
      </c>
      <c r="AO86" t="n">
        <v>3.0</v>
      </c>
      <c r="AP86" t="n">
        <v>10.0</v>
      </c>
      <c r="AQ86" t="n">
        <v>8.0</v>
      </c>
      <c r="AR86" t="n">
        <v>10.0</v>
      </c>
      <c r="AS86" t="n">
        <v>8.0</v>
      </c>
      <c r="AT86" t="n">
        <v>10.0</v>
      </c>
      <c r="AU86" t="n">
        <v>8.0</v>
      </c>
      <c r="AV86" s="221"/>
    </row>
    <row r="87" spans="2:48" ht="14.1" customHeight="1" x14ac:dyDescent="0.25">
      <c r="B87" t="s">
        <v>135</v>
      </c>
      <c r="C87" t="n">
        <v>0.0</v>
      </c>
      <c r="D87" t="n">
        <v>0.0</v>
      </c>
      <c r="E87" t="n">
        <v>0.0</v>
      </c>
      <c r="F87" t="n">
        <v>1.0</v>
      </c>
      <c r="G87" t="n">
        <v>1.0</v>
      </c>
      <c r="H87" t="n">
        <v>1.0</v>
      </c>
      <c r="I87" t="n">
        <v>1.0</v>
      </c>
      <c r="J87" t="n">
        <v>1.0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1.0</v>
      </c>
      <c r="Q87" t="n">
        <v>1.0</v>
      </c>
      <c r="R87" t="n">
        <v>1.0</v>
      </c>
      <c r="S87" t="n">
        <v>1.0</v>
      </c>
      <c r="T87" t="n">
        <v>1.0</v>
      </c>
      <c r="U87" t="n">
        <v>1.0</v>
      </c>
      <c r="V87" t="n">
        <v>110.0</v>
      </c>
      <c r="W87" t="n">
        <v>6.0</v>
      </c>
      <c r="X87" t="n">
        <v>120.0</v>
      </c>
      <c r="Y87" t="n">
        <v>5.0</v>
      </c>
      <c r="Z87" t="n">
        <v>110.0</v>
      </c>
      <c r="AA87" t="n">
        <v>7.0</v>
      </c>
      <c r="AB87" t="n">
        <v>120.0</v>
      </c>
      <c r="AC87" t="n">
        <v>3.0</v>
      </c>
      <c r="AD87" t="n">
        <v>170.0</v>
      </c>
      <c r="AE87" t="n">
        <v>5.0</v>
      </c>
      <c r="AF87" t="n">
        <v>180.0</v>
      </c>
      <c r="AG87" t="n">
        <v>5.0</v>
      </c>
      <c r="AH87" t="n">
        <v>210.0</v>
      </c>
      <c r="AI87" t="n">
        <v>4.0</v>
      </c>
      <c r="AJ87" t="n">
        <v>210.0</v>
      </c>
      <c r="AK87" t="n">
        <v>4.0</v>
      </c>
      <c r="AL87" t="n">
        <v>220.0</v>
      </c>
      <c r="AM87" t="n">
        <v>5.0</v>
      </c>
      <c r="AN87" t="n">
        <v>290.0</v>
      </c>
      <c r="AO87" t="n">
        <v>5.0</v>
      </c>
      <c r="AP87" t="n">
        <v>270.0</v>
      </c>
      <c r="AQ87" t="n">
        <v>5.0</v>
      </c>
      <c r="AR87" t="n">
        <v>260.0</v>
      </c>
      <c r="AS87" t="n">
        <v>5.0</v>
      </c>
      <c r="AT87" t="n">
        <v>330.0</v>
      </c>
      <c r="AU87" t="n">
        <v>6.0</v>
      </c>
      <c r="AV87" s="221"/>
    </row>
    <row r="88" spans="2:48" ht="14.1" customHeight="1" x14ac:dyDescent="0.25">
      <c r="B88" t="s">
        <v>136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110.0</v>
      </c>
      <c r="W88" t="n">
        <v>6.0</v>
      </c>
      <c r="X88" t="n">
        <v>120.0</v>
      </c>
      <c r="Y88" t="n">
        <v>4.0</v>
      </c>
      <c r="Z88" t="n">
        <v>120.0</v>
      </c>
      <c r="AA88" t="n">
        <v>4.0</v>
      </c>
      <c r="AB88" t="n">
        <v>110.0</v>
      </c>
      <c r="AC88" t="n">
        <v>3.0</v>
      </c>
      <c r="AD88" t="n">
        <v>160.0</v>
      </c>
      <c r="AE88" t="n">
        <v>4.0</v>
      </c>
      <c r="AF88" t="n">
        <v>180.0</v>
      </c>
      <c r="AG88" t="n">
        <v>5.0</v>
      </c>
      <c r="AH88" t="n">
        <v>210.0</v>
      </c>
      <c r="AI88" t="n">
        <v>6.0</v>
      </c>
      <c r="AJ88" t="n">
        <v>210.0</v>
      </c>
      <c r="AK88" t="n">
        <v>2.0</v>
      </c>
      <c r="AL88" t="n">
        <v>260.0</v>
      </c>
      <c r="AM88" t="n">
        <v>6.0</v>
      </c>
      <c r="AN88" t="n">
        <v>290.0</v>
      </c>
      <c r="AO88" t="n">
        <v>5.0</v>
      </c>
      <c r="AP88" t="n">
        <v>280.0</v>
      </c>
      <c r="AQ88" t="n">
        <v>4.0</v>
      </c>
      <c r="AR88" t="n">
        <v>260.0</v>
      </c>
      <c r="AS88" t="n">
        <v>4.0</v>
      </c>
      <c r="AT88" t="n">
        <v>260.0</v>
      </c>
      <c r="AU88" t="n">
        <v>6.0</v>
      </c>
      <c r="AV88" s="221"/>
    </row>
    <row r="89" spans="2:48" ht="14.1" customHeight="1" x14ac:dyDescent="0.25">
      <c r="B89" t="s">
        <v>137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/>
      <c r="O89" t="n">
        <v>0.0</v>
      </c>
      <c r="P89" t="n">
        <v>0.0</v>
      </c>
      <c r="Q89" t="n">
        <v>0.0</v>
      </c>
      <c r="R89" t="n">
        <v>1.0</v>
      </c>
      <c r="S89" t="n">
        <v>0.0</v>
      </c>
      <c r="T89" t="n">
        <v>0.0</v>
      </c>
      <c r="U89" t="n">
        <v>1.0</v>
      </c>
      <c r="V89" t="n">
        <v>150.0</v>
      </c>
      <c r="W89" t="n">
        <v>6.0</v>
      </c>
      <c r="X89" t="n">
        <v>140.0</v>
      </c>
      <c r="Y89" t="n">
        <v>5.0</v>
      </c>
      <c r="Z89" t="n">
        <v>140.0</v>
      </c>
      <c r="AA89" t="n">
        <v>6.0</v>
      </c>
      <c r="AB89" t="n">
        <v>140.0</v>
      </c>
      <c r="AC89" t="n">
        <v>4.0</v>
      </c>
      <c r="AD89" t="n">
        <v>140.0</v>
      </c>
      <c r="AE89" t="n">
        <v>6.0</v>
      </c>
      <c r="AF89" t="n">
        <v>170.0</v>
      </c>
      <c r="AG89" t="n">
        <v>5.0</v>
      </c>
      <c r="AH89" t="n">
        <v>300.0</v>
      </c>
      <c r="AI89" t="n">
        <v>5.0</v>
      </c>
      <c r="AJ89" t="n">
        <v>330.0</v>
      </c>
      <c r="AK89" t="n">
        <v>4.0</v>
      </c>
      <c r="AL89" t="n">
        <v>320.0</v>
      </c>
      <c r="AM89" t="n">
        <v>4.0</v>
      </c>
      <c r="AN89" t="n">
        <v>300.0</v>
      </c>
      <c r="AO89" t="n">
        <v>4.0</v>
      </c>
      <c r="AP89" t="n">
        <v>190.0</v>
      </c>
      <c r="AQ89" t="n">
        <v>4.0</v>
      </c>
      <c r="AR89"/>
      <c r="AS89"/>
      <c r="AT89" t="n">
        <v>220.0</v>
      </c>
      <c r="AU89" t="n">
        <v>4.0</v>
      </c>
      <c r="AV89" s="221"/>
    </row>
    <row r="90" spans="2:48" ht="14.1" customHeight="1" x14ac:dyDescent="0.25">
      <c r="B90" t="s">
        <v>138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2.0</v>
      </c>
      <c r="I90" t="n">
        <v>2.0</v>
      </c>
      <c r="J90" t="n">
        <v>2.0</v>
      </c>
      <c r="K90" t="n">
        <v>2.0</v>
      </c>
      <c r="L90" t="n">
        <v>2.0</v>
      </c>
      <c r="M90" t="n">
        <v>2.0</v>
      </c>
      <c r="N90" t="n">
        <v>2.0</v>
      </c>
      <c r="O90" t="n">
        <v>2.0</v>
      </c>
      <c r="P90" t="n">
        <v>1.0</v>
      </c>
      <c r="Q90" t="n">
        <v>1.0</v>
      </c>
      <c r="R90" t="n">
        <v>1.0</v>
      </c>
      <c r="S90" t="n">
        <v>1.0</v>
      </c>
      <c r="T90" t="n">
        <v>1.0</v>
      </c>
      <c r="U90" t="n">
        <v>3.0</v>
      </c>
      <c r="V90" t="n">
        <v>110.0</v>
      </c>
      <c r="W90" t="n">
        <v>5.0</v>
      </c>
      <c r="X90" t="n">
        <v>130.0</v>
      </c>
      <c r="Y90" t="n">
        <v>6.0</v>
      </c>
      <c r="Z90" t="n">
        <v>110.0</v>
      </c>
      <c r="AA90" t="n">
        <v>4.0</v>
      </c>
      <c r="AB90" t="n">
        <v>140.0</v>
      </c>
      <c r="AC90" t="n">
        <v>5.0</v>
      </c>
      <c r="AD90" t="n">
        <v>150.0</v>
      </c>
      <c r="AE90" t="n">
        <v>4.0</v>
      </c>
      <c r="AF90" t="n">
        <v>180.0</v>
      </c>
      <c r="AG90" t="n">
        <v>6.0</v>
      </c>
      <c r="AH90" t="n">
        <v>190.0</v>
      </c>
      <c r="AI90" t="n">
        <v>6.0</v>
      </c>
      <c r="AJ90" t="n">
        <v>200.0</v>
      </c>
      <c r="AK90" t="n">
        <v>6.0</v>
      </c>
      <c r="AL90" t="n">
        <v>280.0</v>
      </c>
      <c r="AM90" t="n">
        <v>6.0</v>
      </c>
      <c r="AN90" t="n">
        <v>280.0</v>
      </c>
      <c r="AO90" t="n">
        <v>9.0</v>
      </c>
      <c r="AP90" t="n">
        <v>280.0</v>
      </c>
      <c r="AQ90" t="n">
        <v>5.0</v>
      </c>
      <c r="AR90" t="n">
        <v>310.0</v>
      </c>
      <c r="AS90" t="n">
        <v>6.0</v>
      </c>
      <c r="AT90" t="n">
        <v>310.0</v>
      </c>
      <c r="AU90" t="n">
        <v>6.0</v>
      </c>
      <c r="AV90" s="221"/>
    </row>
    <row r="91" spans="2:48" ht="14.1" customHeight="1" x14ac:dyDescent="0.25">
      <c r="B91" t="s">
        <v>139</v>
      </c>
      <c r="C91" t="n">
        <v>0.0</v>
      </c>
      <c r="D91" t="n">
        <v>1.0</v>
      </c>
      <c r="E91" t="n">
        <v>2.0</v>
      </c>
      <c r="F91" t="n">
        <v>5.0</v>
      </c>
      <c r="G91" t="n">
        <v>3.0</v>
      </c>
      <c r="H91" t="n">
        <v>2.0</v>
      </c>
      <c r="I91" t="n">
        <v>5.0</v>
      </c>
      <c r="J91" t="n">
        <v>5.0</v>
      </c>
      <c r="K91" t="n">
        <v>5.0</v>
      </c>
      <c r="L91" t="n">
        <v>5.0</v>
      </c>
      <c r="M91" t="n">
        <v>3.0</v>
      </c>
      <c r="N91" t="n">
        <v>3.0</v>
      </c>
      <c r="O91" t="n">
        <v>3.0</v>
      </c>
      <c r="P91" t="n">
        <v>1.0</v>
      </c>
      <c r="Q91" t="n">
        <v>1.0</v>
      </c>
      <c r="R91" t="n">
        <v>1.0</v>
      </c>
      <c r="S91" t="n">
        <v>1.0</v>
      </c>
      <c r="T91" t="n">
        <v>1.0</v>
      </c>
      <c r="U91" t="n">
        <v>1.0</v>
      </c>
      <c r="V91" t="n">
        <v>110.0</v>
      </c>
      <c r="W91" t="n">
        <v>4.0</v>
      </c>
      <c r="X91" t="n">
        <v>110.0</v>
      </c>
      <c r="Y91" t="n">
        <v>3.0</v>
      </c>
      <c r="Z91" t="n">
        <v>10.0</v>
      </c>
      <c r="AA91" t="n">
        <v>4.0</v>
      </c>
      <c r="AB91" t="n">
        <v>10.0</v>
      </c>
      <c r="AC91" t="n">
        <v>5.0</v>
      </c>
      <c r="AD91" t="n">
        <v>360.0</v>
      </c>
      <c r="AE91" t="n">
        <v>3.0</v>
      </c>
      <c r="AF91" t="n">
        <v>20.0</v>
      </c>
      <c r="AG91" t="n">
        <v>4.0</v>
      </c>
      <c r="AH91" t="n">
        <v>350.0</v>
      </c>
      <c r="AI91" t="n">
        <v>4.0</v>
      </c>
      <c r="AJ91" t="n">
        <v>360.0</v>
      </c>
      <c r="AK91" t="n">
        <v>7.0</v>
      </c>
      <c r="AL91" t="n">
        <v>20.0</v>
      </c>
      <c r="AM91" t="n">
        <v>7.0</v>
      </c>
      <c r="AN91" t="n">
        <v>20.0</v>
      </c>
      <c r="AO91" t="n">
        <v>7.0</v>
      </c>
      <c r="AP91" t="n">
        <v>20.0</v>
      </c>
      <c r="AQ91" t="n">
        <v>8.0</v>
      </c>
      <c r="AR91" t="n">
        <v>20.0</v>
      </c>
      <c r="AS91" t="n">
        <v>8.0</v>
      </c>
      <c r="AT91" t="n">
        <v>20.0</v>
      </c>
      <c r="AU91" t="n">
        <v>7.0</v>
      </c>
      <c r="AV91" s="221"/>
    </row>
    <row r="92" spans="2:48" ht="14.1" customHeight="1" x14ac:dyDescent="0.25">
      <c r="B92" t="s">
        <v>140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1.0</v>
      </c>
      <c r="Q92" t="n">
        <v>1.0</v>
      </c>
      <c r="R92" t="n">
        <v>5.0</v>
      </c>
      <c r="S92" t="n">
        <v>6.0</v>
      </c>
      <c r="T92" t="n">
        <v>2.0</v>
      </c>
      <c r="U92" t="n">
        <v>4.0</v>
      </c>
      <c r="V92" t="n">
        <v>50.0</v>
      </c>
      <c r="W92" t="n">
        <v>4.0</v>
      </c>
      <c r="X92" t="n">
        <v>50.0</v>
      </c>
      <c r="Y92" t="n">
        <v>3.0</v>
      </c>
      <c r="Z92" t="n">
        <v>40.0</v>
      </c>
      <c r="AA92" t="n">
        <v>6.0</v>
      </c>
      <c r="AB92" t="n">
        <v>40.0</v>
      </c>
      <c r="AC92" t="n">
        <v>4.0</v>
      </c>
      <c r="AD92" t="n">
        <v>60.0</v>
      </c>
      <c r="AE92" t="n">
        <v>4.0</v>
      </c>
      <c r="AF92" t="n">
        <v>50.0</v>
      </c>
      <c r="AG92" t="n">
        <v>5.0</v>
      </c>
      <c r="AH92" t="n">
        <v>30.0</v>
      </c>
      <c r="AI92" t="n">
        <v>5.0</v>
      </c>
      <c r="AJ92" t="n">
        <v>20.0</v>
      </c>
      <c r="AK92" t="n">
        <v>4.0</v>
      </c>
      <c r="AL92" t="n">
        <v>10.0</v>
      </c>
      <c r="AM92" t="n">
        <v>7.0</v>
      </c>
      <c r="AN92" t="n">
        <v>30.0</v>
      </c>
      <c r="AO92" t="n">
        <v>7.0</v>
      </c>
      <c r="AP92" t="n">
        <v>10.0</v>
      </c>
      <c r="AQ92" t="n">
        <v>10.0</v>
      </c>
      <c r="AR92" t="n">
        <v>30.0</v>
      </c>
      <c r="AS92" t="n">
        <v>9.0</v>
      </c>
      <c r="AT92" t="n">
        <v>30.0</v>
      </c>
      <c r="AU92" t="n">
        <v>8.0</v>
      </c>
      <c r="AV92" s="221"/>
    </row>
    <row r="93" spans="2:48" ht="14.1" customHeight="1" x14ac:dyDescent="0.25">
      <c r="B93" t="s">
        <v>141</v>
      </c>
      <c r="C93" t="n">
        <v>4.0</v>
      </c>
      <c r="D93" t="n">
        <v>5.0</v>
      </c>
      <c r="E93" t="n">
        <v>5.0</v>
      </c>
      <c r="F93" t="n">
        <v>4.0</v>
      </c>
      <c r="G93" t="n">
        <v>4.0</v>
      </c>
      <c r="H93" t="n">
        <v>4.0</v>
      </c>
      <c r="I93" t="n">
        <v>4.0</v>
      </c>
      <c r="J93" t="n">
        <v>2.0</v>
      </c>
      <c r="K93" t="n">
        <v>3.0</v>
      </c>
      <c r="L93" t="n">
        <v>3.0</v>
      </c>
      <c r="M93" t="n">
        <v>4.0</v>
      </c>
      <c r="N93" t="n">
        <v>2.0</v>
      </c>
      <c r="O93" t="n">
        <v>4.0</v>
      </c>
      <c r="P93" t="n">
        <v>4.0</v>
      </c>
      <c r="Q93" t="n">
        <v>2.0</v>
      </c>
      <c r="R93" t="n">
        <v>3.0</v>
      </c>
      <c r="S93" t="n">
        <v>4.0</v>
      </c>
      <c r="T93" t="n">
        <v>6.0</v>
      </c>
      <c r="U93" t="n">
        <v>4.0</v>
      </c>
      <c r="V93" t="n">
        <v>30.0</v>
      </c>
      <c r="W93" t="n">
        <v>10.0</v>
      </c>
      <c r="X93" t="n">
        <v>30.0</v>
      </c>
      <c r="Y93" t="n">
        <v>9.0</v>
      </c>
      <c r="Z93" t="n">
        <v>30.0</v>
      </c>
      <c r="AA93" t="n">
        <v>9.0</v>
      </c>
      <c r="AB93" t="n">
        <v>30.0</v>
      </c>
      <c r="AC93" t="n">
        <v>10.0</v>
      </c>
      <c r="AD93" t="n">
        <v>40.0</v>
      </c>
      <c r="AE93" t="n">
        <v>11.0</v>
      </c>
      <c r="AF93" t="n">
        <v>40.0</v>
      </c>
      <c r="AG93" t="n">
        <v>11.0</v>
      </c>
      <c r="AH93" t="n">
        <v>40.0</v>
      </c>
      <c r="AI93" t="n">
        <v>10.0</v>
      </c>
      <c r="AJ93" t="n">
        <v>20.0</v>
      </c>
      <c r="AK93" t="n">
        <v>11.0</v>
      </c>
      <c r="AL93" t="n">
        <v>40.0</v>
      </c>
      <c r="AM93" t="n">
        <v>10.0</v>
      </c>
      <c r="AN93" t="n">
        <v>30.0</v>
      </c>
      <c r="AO93" t="n">
        <v>9.0</v>
      </c>
      <c r="AP93" t="n">
        <v>30.0</v>
      </c>
      <c r="AQ93" t="n">
        <v>9.0</v>
      </c>
      <c r="AR93" t="n">
        <v>30.0</v>
      </c>
      <c r="AS93" t="n">
        <v>11.0</v>
      </c>
      <c r="AT93" t="n">
        <v>30.0</v>
      </c>
      <c r="AU93" t="n">
        <v>11.0</v>
      </c>
      <c r="AV93" s="221"/>
    </row>
    <row r="94" spans="2:48" ht="14.1" customHeight="1" x14ac:dyDescent="0.25">
      <c r="B94" t="s">
        <v>142</v>
      </c>
      <c r="C94" t="n">
        <v>6.0</v>
      </c>
      <c r="D94" t="n">
        <v>6.0</v>
      </c>
      <c r="E94" t="n">
        <v>3.0</v>
      </c>
      <c r="F94" t="n">
        <v>2.0</v>
      </c>
      <c r="G94" t="n">
        <v>2.0</v>
      </c>
      <c r="H94" t="n">
        <v>2.0</v>
      </c>
      <c r="I94" t="n">
        <v>2.0</v>
      </c>
      <c r="J94" t="n">
        <v>2.0</v>
      </c>
      <c r="K94" t="n">
        <v>2.0</v>
      </c>
      <c r="L94" t="n">
        <v>3.0</v>
      </c>
      <c r="M94" t="n">
        <v>3.0</v>
      </c>
      <c r="N94" t="n">
        <v>3.0</v>
      </c>
      <c r="O94" t="n">
        <v>3.0</v>
      </c>
      <c r="P94" t="n">
        <v>2.0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40.0</v>
      </c>
      <c r="W94" t="n">
        <v>9.0</v>
      </c>
      <c r="X94" t="n">
        <v>40.0</v>
      </c>
      <c r="Y94" t="n">
        <v>8.0</v>
      </c>
      <c r="Z94" t="n">
        <v>60.0</v>
      </c>
      <c r="AA94" t="n">
        <v>6.0</v>
      </c>
      <c r="AB94" t="n">
        <v>30.0</v>
      </c>
      <c r="AC94" t="n">
        <v>8.0</v>
      </c>
      <c r="AD94" t="n">
        <v>60.0</v>
      </c>
      <c r="AE94" t="n">
        <v>10.0</v>
      </c>
      <c r="AF94" t="n">
        <v>50.0</v>
      </c>
      <c r="AG94" t="n">
        <v>11.0</v>
      </c>
      <c r="AH94" t="n">
        <v>60.0</v>
      </c>
      <c r="AI94" t="n">
        <v>10.0</v>
      </c>
      <c r="AJ94" t="n">
        <v>40.0</v>
      </c>
      <c r="AK94" t="n">
        <v>2.0</v>
      </c>
      <c r="AL94" t="n">
        <v>30.0</v>
      </c>
      <c r="AM94" t="n">
        <v>9.0</v>
      </c>
      <c r="AN94" t="n">
        <v>30.0</v>
      </c>
      <c r="AO94" t="n">
        <v>11.0</v>
      </c>
      <c r="AP94" t="n">
        <v>30.0</v>
      </c>
      <c r="AQ94" t="n">
        <v>12.0</v>
      </c>
      <c r="AR94" t="n">
        <v>40.0</v>
      </c>
      <c r="AS94" t="n">
        <v>11.0</v>
      </c>
      <c r="AT94" t="n">
        <v>30.0</v>
      </c>
      <c r="AU94" t="n">
        <v>9.0</v>
      </c>
      <c r="AV94" s="221"/>
    </row>
    <row r="95" spans="2:48" ht="14.1" customHeight="1" x14ac:dyDescent="0.25">
      <c r="B95" t="s">
        <v>143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2.0</v>
      </c>
      <c r="L95" t="n">
        <v>2.0</v>
      </c>
      <c r="M95" t="n">
        <v>2.0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80.0</v>
      </c>
      <c r="W95" t="n">
        <v>4.0</v>
      </c>
      <c r="X95" t="n">
        <v>80.0</v>
      </c>
      <c r="Y95" t="n">
        <v>2.0</v>
      </c>
      <c r="Z95" t="n">
        <v>30.0</v>
      </c>
      <c r="AA95" t="n">
        <v>6.0</v>
      </c>
      <c r="AB95" t="n">
        <v>10.0</v>
      </c>
      <c r="AC95" t="n">
        <v>6.0</v>
      </c>
      <c r="AD95" t="n">
        <v>10.0</v>
      </c>
      <c r="AE95" t="n">
        <v>6.0</v>
      </c>
      <c r="AF95" t="n">
        <v>10.0</v>
      </c>
      <c r="AG95" t="n">
        <v>8.0</v>
      </c>
      <c r="AH95" t="n">
        <v>20.0</v>
      </c>
      <c r="AI95" t="n">
        <v>8.0</v>
      </c>
      <c r="AJ95" t="n">
        <v>20.0</v>
      </c>
      <c r="AK95" t="n">
        <v>8.0</v>
      </c>
      <c r="AL95" t="n">
        <v>30.0</v>
      </c>
      <c r="AM95" t="n">
        <v>7.0</v>
      </c>
      <c r="AN95" t="n">
        <v>20.0</v>
      </c>
      <c r="AO95" t="n">
        <v>8.0</v>
      </c>
      <c r="AP95" t="n">
        <v>10.0</v>
      </c>
      <c r="AQ95" t="n">
        <v>10.0</v>
      </c>
      <c r="AR95" t="n">
        <v>10.0</v>
      </c>
      <c r="AS95" t="n">
        <v>10.0</v>
      </c>
      <c r="AT95" t="n">
        <v>20.0</v>
      </c>
      <c r="AU95" t="n">
        <v>7.0</v>
      </c>
      <c r="AV95" s="221"/>
    </row>
    <row r="96" spans="2:48" ht="14.1" customHeight="1" x14ac:dyDescent="0.25">
      <c r="B96" t="s">
        <v>144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2.0</v>
      </c>
      <c r="P96" t="n">
        <v>0.0</v>
      </c>
      <c r="Q96" t="n">
        <v>0.0</v>
      </c>
      <c r="R96" t="n">
        <v>0.0</v>
      </c>
      <c r="S96" t="n">
        <v>0.0</v>
      </c>
      <c r="T96" t="n">
        <v>2.0</v>
      </c>
      <c r="U96" t="n">
        <v>2.0</v>
      </c>
      <c r="V96" t="n">
        <v>100.0</v>
      </c>
      <c r="W96" t="n">
        <v>5.0</v>
      </c>
      <c r="X96" t="n">
        <v>100.0</v>
      </c>
      <c r="Y96" t="n">
        <v>3.0</v>
      </c>
      <c r="Z96" t="n">
        <v>50.0</v>
      </c>
      <c r="AA96" t="n">
        <v>2.0</v>
      </c>
      <c r="AB96" t="n">
        <v>100.0</v>
      </c>
      <c r="AC96" t="n">
        <v>2.0</v>
      </c>
      <c r="AD96" t="n">
        <v>110.0</v>
      </c>
      <c r="AE96" t="n">
        <v>5.0</v>
      </c>
      <c r="AF96" t="n">
        <v>120.0</v>
      </c>
      <c r="AG96" t="n">
        <v>3.0</v>
      </c>
      <c r="AH96" t="n">
        <v>120.0</v>
      </c>
      <c r="AI96" t="n">
        <v>2.0</v>
      </c>
      <c r="AJ96" t="n">
        <v>60.0</v>
      </c>
      <c r="AK96" t="n">
        <v>2.0</v>
      </c>
      <c r="AL96" t="n">
        <v>350.0</v>
      </c>
      <c r="AM96" t="n">
        <v>5.0</v>
      </c>
      <c r="AN96" t="n">
        <v>10.0</v>
      </c>
      <c r="AO96" t="n">
        <v>4.0</v>
      </c>
      <c r="AP96" t="n">
        <v>20.0</v>
      </c>
      <c r="AQ96" t="n">
        <v>5.0</v>
      </c>
      <c r="AR96" t="n">
        <v>360.0</v>
      </c>
      <c r="AS96" t="n">
        <v>6.0</v>
      </c>
      <c r="AT96" t="n">
        <v>10.0</v>
      </c>
      <c r="AU96" t="n">
        <v>5.0</v>
      </c>
      <c r="AV96" s="221"/>
    </row>
    <row r="97" spans="2:48" ht="14.1" customHeight="1" x14ac:dyDescent="0.25">
      <c r="B97" t="s">
        <v>145</v>
      </c>
      <c r="C97" t="n">
        <v>2.0</v>
      </c>
      <c r="D97" t="n">
        <v>2.0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2.0</v>
      </c>
      <c r="O97" t="n">
        <v>2.0</v>
      </c>
      <c r="P97" t="n">
        <v>3.0</v>
      </c>
      <c r="Q97" t="n">
        <v>1.0</v>
      </c>
      <c r="R97" t="n">
        <v>5.0</v>
      </c>
      <c r="S97" t="n">
        <v>0.0</v>
      </c>
      <c r="T97" t="n">
        <v>1.0</v>
      </c>
      <c r="U97" t="n">
        <v>0.0</v>
      </c>
      <c r="V97" t="n">
        <v>100.0</v>
      </c>
      <c r="W97" t="n">
        <v>3.0</v>
      </c>
      <c r="X97" t="n">
        <v>100.0</v>
      </c>
      <c r="Y97" t="n">
        <v>4.0</v>
      </c>
      <c r="Z97" t="n">
        <v>100.0</v>
      </c>
      <c r="AA97" t="n">
        <v>3.0</v>
      </c>
      <c r="AB97"/>
      <c r="AC97" t="n">
        <v>0.0</v>
      </c>
      <c r="AD97" t="n">
        <v>220.0</v>
      </c>
      <c r="AE97" t="n">
        <v>2.0</v>
      </c>
      <c r="AF97" t="n">
        <v>180.0</v>
      </c>
      <c r="AG97" t="n">
        <v>4.0</v>
      </c>
      <c r="AH97" t="n">
        <v>200.0</v>
      </c>
      <c r="AI97" t="n">
        <v>4.0</v>
      </c>
      <c r="AJ97" t="n">
        <v>240.0</v>
      </c>
      <c r="AK97" t="n">
        <v>4.0</v>
      </c>
      <c r="AL97" t="n">
        <v>280.0</v>
      </c>
      <c r="AM97" t="n">
        <v>6.0</v>
      </c>
      <c r="AN97" t="n">
        <v>290.0</v>
      </c>
      <c r="AO97" t="n">
        <v>7.0</v>
      </c>
      <c r="AP97" t="n">
        <v>290.0</v>
      </c>
      <c r="AQ97" t="n">
        <v>6.0</v>
      </c>
      <c r="AR97" t="n">
        <v>350.0</v>
      </c>
      <c r="AS97" t="n">
        <v>10.0</v>
      </c>
      <c r="AT97" t="n">
        <v>10.0</v>
      </c>
      <c r="AU97" t="n">
        <v>11.0</v>
      </c>
      <c r="AV97" s="221"/>
    </row>
    <row r="98" spans="2:48" ht="14.1" customHeight="1" x14ac:dyDescent="0.25">
      <c r="B98" t="s">
        <v>146</v>
      </c>
      <c r="C98" t="n">
        <v>6.0</v>
      </c>
      <c r="D98" t="n">
        <v>6.0</v>
      </c>
      <c r="E98" t="n">
        <v>3.0</v>
      </c>
      <c r="F98" t="n">
        <v>1.0</v>
      </c>
      <c r="G98" t="n">
        <v>1.0</v>
      </c>
      <c r="H98" t="n">
        <v>2.0</v>
      </c>
      <c r="I98" t="n">
        <v>2.0</v>
      </c>
      <c r="J98" t="n">
        <v>2.0</v>
      </c>
      <c r="K98" t="n">
        <v>3.0</v>
      </c>
      <c r="L98" t="n">
        <v>3.0</v>
      </c>
      <c r="M98" t="n">
        <v>2.0</v>
      </c>
      <c r="N98" t="n">
        <v>2.0</v>
      </c>
      <c r="O98" t="n">
        <v>2.0</v>
      </c>
      <c r="P98" t="n">
        <v>1.0</v>
      </c>
      <c r="Q98" t="n">
        <v>1.0</v>
      </c>
      <c r="R98" t="n">
        <v>1.0</v>
      </c>
      <c r="S98" t="n">
        <v>1.0</v>
      </c>
      <c r="T98" t="n">
        <v>1.0</v>
      </c>
      <c r="U98" t="n">
        <v>1.0</v>
      </c>
      <c r="V98" t="n">
        <v>30.0</v>
      </c>
      <c r="W98" t="n">
        <v>10.0</v>
      </c>
      <c r="X98" t="n">
        <v>30.0</v>
      </c>
      <c r="Y98" t="n">
        <v>11.0</v>
      </c>
      <c r="Z98" t="n">
        <v>50.0</v>
      </c>
      <c r="AA98" t="n">
        <v>7.0</v>
      </c>
      <c r="AB98" t="n">
        <v>50.0</v>
      </c>
      <c r="AC98" t="n">
        <v>7.0</v>
      </c>
      <c r="AD98" t="n">
        <v>60.0</v>
      </c>
      <c r="AE98" t="n">
        <v>7.0</v>
      </c>
      <c r="AF98" t="n">
        <v>40.0</v>
      </c>
      <c r="AG98" t="n">
        <v>10.0</v>
      </c>
      <c r="AH98" t="n">
        <v>20.0</v>
      </c>
      <c r="AI98" t="n">
        <v>8.0</v>
      </c>
      <c r="AJ98" t="n">
        <v>20.0</v>
      </c>
      <c r="AK98" t="n">
        <v>9.0</v>
      </c>
      <c r="AL98" t="n">
        <v>10.0</v>
      </c>
      <c r="AM98" t="n">
        <v>13.0</v>
      </c>
      <c r="AN98" t="n">
        <v>20.0</v>
      </c>
      <c r="AO98" t="n">
        <v>10.0</v>
      </c>
      <c r="AP98" t="n">
        <v>20.0</v>
      </c>
      <c r="AQ98" t="n">
        <v>6.0</v>
      </c>
      <c r="AR98" t="n">
        <v>10.0</v>
      </c>
      <c r="AS98" t="n">
        <v>7.0</v>
      </c>
      <c r="AT98" t="n">
        <v>360.0</v>
      </c>
      <c r="AU98" t="n">
        <v>6.0</v>
      </c>
      <c r="AV98" s="221"/>
    </row>
    <row r="99" spans="2:48" ht="14.1" customHeight="1" x14ac:dyDescent="0.25">
      <c r="B99" t="s">
        <v>147</v>
      </c>
      <c r="C99" t="n">
        <v>4.0</v>
      </c>
      <c r="D99" t="n">
        <v>4.0</v>
      </c>
      <c r="E99" t="n">
        <v>2.0</v>
      </c>
      <c r="F99" t="n">
        <v>2.0</v>
      </c>
      <c r="G99" t="n">
        <v>2.0</v>
      </c>
      <c r="H99" t="n">
        <v>2.0</v>
      </c>
      <c r="I99" t="n">
        <v>3.0</v>
      </c>
      <c r="J99" t="n">
        <v>3.0</v>
      </c>
      <c r="K99" t="n">
        <v>3.0</v>
      </c>
      <c r="L99" t="n">
        <v>5.0</v>
      </c>
      <c r="M99" t="n">
        <v>5.0</v>
      </c>
      <c r="N99" t="n">
        <v>6.0</v>
      </c>
      <c r="O99" t="n">
        <v>6.0</v>
      </c>
      <c r="P99" t="n">
        <v>1.0</v>
      </c>
      <c r="Q99" t="n">
        <v>1.0</v>
      </c>
      <c r="R99" t="n">
        <v>5.0</v>
      </c>
      <c r="S99" t="n">
        <v>5.0</v>
      </c>
      <c r="T99" t="n">
        <v>3.0</v>
      </c>
      <c r="U99" t="n">
        <v>1.0</v>
      </c>
      <c r="V99" t="n">
        <v>20.0</v>
      </c>
      <c r="W99" t="n">
        <v>7.0</v>
      </c>
      <c r="X99" t="n">
        <v>30.0</v>
      </c>
      <c r="Y99" t="n">
        <v>4.0</v>
      </c>
      <c r="Z99" t="n">
        <v>30.0</v>
      </c>
      <c r="AA99" t="n">
        <v>4.0</v>
      </c>
      <c r="AB99" t="n">
        <v>350.0</v>
      </c>
      <c r="AC99" t="n">
        <v>1.0</v>
      </c>
      <c r="AD99" t="n">
        <v>320.0</v>
      </c>
      <c r="AE99" t="n">
        <v>3.0</v>
      </c>
      <c r="AF99" t="n">
        <v>330.0</v>
      </c>
      <c r="AG99" t="n">
        <v>5.0</v>
      </c>
      <c r="AH99" t="n">
        <v>300.0</v>
      </c>
      <c r="AI99" t="n">
        <v>8.0</v>
      </c>
      <c r="AJ99" t="n">
        <v>280.0</v>
      </c>
      <c r="AK99" t="n">
        <v>9.0</v>
      </c>
      <c r="AL99" t="n">
        <v>300.0</v>
      </c>
      <c r="AM99" t="n">
        <v>7.0</v>
      </c>
      <c r="AN99" t="n">
        <v>290.0</v>
      </c>
      <c r="AO99" t="n">
        <v>9.0</v>
      </c>
      <c r="AP99" t="n">
        <v>280.0</v>
      </c>
      <c r="AQ99" t="n">
        <v>11.0</v>
      </c>
      <c r="AR99" t="n">
        <v>280.0</v>
      </c>
      <c r="AS99" t="n">
        <v>11.0</v>
      </c>
      <c r="AT99" t="n">
        <v>280.0</v>
      </c>
      <c r="AU99" t="n">
        <v>8.0</v>
      </c>
      <c r="AV99" s="221"/>
    </row>
    <row r="100" spans="2:48" ht="14.1" customHeight="1" x14ac:dyDescent="0.25">
      <c r="B100" t="s">
        <v>148</v>
      </c>
      <c r="C100" t="n">
        <v>6.0</v>
      </c>
      <c r="D100" t="n">
        <v>7.0</v>
      </c>
      <c r="E100" t="n">
        <v>7.0</v>
      </c>
      <c r="F100" t="n">
        <v>7.0</v>
      </c>
      <c r="G100" t="n">
        <v>7.0</v>
      </c>
      <c r="H100" t="n">
        <v>4.0</v>
      </c>
      <c r="I100" t="n">
        <v>6.0</v>
      </c>
      <c r="J100" t="n">
        <v>6.0</v>
      </c>
      <c r="K100" t="n">
        <v>7.0</v>
      </c>
      <c r="L100" t="n">
        <v>7.0</v>
      </c>
      <c r="M100" t="n">
        <v>6.0</v>
      </c>
      <c r="N100" t="n">
        <v>6.0</v>
      </c>
      <c r="O100" t="n">
        <v>5.0</v>
      </c>
      <c r="P100" t="n">
        <v>5.0</v>
      </c>
      <c r="Q100" t="n">
        <v>3.0</v>
      </c>
      <c r="R100" t="n">
        <v>3.0</v>
      </c>
      <c r="S100" t="n">
        <v>1.0</v>
      </c>
      <c r="T100" t="n">
        <v>1.0</v>
      </c>
      <c r="U100" t="n">
        <v>1.0</v>
      </c>
      <c r="V100" t="n">
        <v>240.0</v>
      </c>
      <c r="W100" t="n">
        <v>8.0</v>
      </c>
      <c r="X100" t="n">
        <v>250.0</v>
      </c>
      <c r="Y100" t="n">
        <v>10.0</v>
      </c>
      <c r="Z100" t="n">
        <v>250.0</v>
      </c>
      <c r="AA100" t="n">
        <v>8.0</v>
      </c>
      <c r="AB100" t="n">
        <v>330.0</v>
      </c>
      <c r="AC100" t="n">
        <v>11.0</v>
      </c>
      <c r="AD100" t="n">
        <v>330.0</v>
      </c>
      <c r="AE100" t="n">
        <v>12.0</v>
      </c>
      <c r="AF100" t="n">
        <v>320.0</v>
      </c>
      <c r="AG100" t="n">
        <v>11.0</v>
      </c>
      <c r="AH100" t="n">
        <v>310.0</v>
      </c>
      <c r="AI100" t="n">
        <v>11.0</v>
      </c>
      <c r="AJ100" t="n">
        <v>330.0</v>
      </c>
      <c r="AK100" t="n">
        <v>11.0</v>
      </c>
      <c r="AL100" t="n">
        <v>350.0</v>
      </c>
      <c r="AM100" t="n">
        <v>14.0</v>
      </c>
      <c r="AN100" t="n">
        <v>360.0</v>
      </c>
      <c r="AO100" t="n">
        <v>12.0</v>
      </c>
      <c r="AP100" t="n">
        <v>350.0</v>
      </c>
      <c r="AQ100" t="n">
        <v>9.0</v>
      </c>
      <c r="AR100" t="n">
        <v>360.0</v>
      </c>
      <c r="AS100" t="n">
        <v>11.0</v>
      </c>
      <c r="AT100" t="n">
        <v>20.0</v>
      </c>
      <c r="AU100" t="n">
        <v>10.0</v>
      </c>
      <c r="AV100" s="221"/>
    </row>
    <row r="101" spans="2:48" ht="14.1" customHeight="1" x14ac:dyDescent="0.25">
      <c r="B101" t="s">
        <v>149</v>
      </c>
      <c r="C101" t="n">
        <v>0.0</v>
      </c>
      <c r="D101" t="n">
        <v>0.0</v>
      </c>
      <c r="E101" t="n">
        <v>0.0</v>
      </c>
      <c r="F101" t="n">
        <v>1.0</v>
      </c>
      <c r="G101" t="n">
        <v>1.0</v>
      </c>
      <c r="H101" t="n">
        <v>1.0</v>
      </c>
      <c r="I101" t="n">
        <v>1.0</v>
      </c>
      <c r="J101" t="n">
        <v>1.0</v>
      </c>
      <c r="K101" t="n">
        <v>1.0</v>
      </c>
      <c r="L101" t="n">
        <v>2.0</v>
      </c>
      <c r="M101" t="n">
        <v>2.0</v>
      </c>
      <c r="N101" t="n">
        <v>2.0</v>
      </c>
      <c r="O101" t="n">
        <v>2.0</v>
      </c>
      <c r="P101" t="n">
        <v>1.0</v>
      </c>
      <c r="Q101" t="n">
        <v>1.0</v>
      </c>
      <c r="R101" t="n">
        <v>1.0</v>
      </c>
      <c r="S101" t="n">
        <v>1.0</v>
      </c>
      <c r="T101" t="n">
        <v>1.0</v>
      </c>
      <c r="U101" t="n">
        <v>1.0</v>
      </c>
      <c r="V101" t="n">
        <v>50.0</v>
      </c>
      <c r="W101" t="n">
        <v>5.0</v>
      </c>
      <c r="X101" t="n">
        <v>50.0</v>
      </c>
      <c r="Y101" t="n">
        <v>7.0</v>
      </c>
      <c r="Z101" t="n">
        <v>50.0</v>
      </c>
      <c r="AA101" t="n">
        <v>8.0</v>
      </c>
      <c r="AB101" t="n">
        <v>50.0</v>
      </c>
      <c r="AC101" t="n">
        <v>7.0</v>
      </c>
      <c r="AD101" t="n">
        <v>60.0</v>
      </c>
      <c r="AE101" t="n">
        <v>7.0</v>
      </c>
      <c r="AF101" t="n">
        <v>40.0</v>
      </c>
      <c r="AG101" t="n">
        <v>14.0</v>
      </c>
      <c r="AH101" t="n">
        <v>40.0</v>
      </c>
      <c r="AI101" t="n">
        <v>14.0</v>
      </c>
      <c r="AJ101" t="n">
        <v>40.0</v>
      </c>
      <c r="AK101" t="n">
        <v>15.0</v>
      </c>
      <c r="AL101" t="n">
        <v>30.0</v>
      </c>
      <c r="AM101" t="n">
        <v>16.0</v>
      </c>
      <c r="AN101" t="n">
        <v>30.0</v>
      </c>
      <c r="AO101" t="n">
        <v>17.0</v>
      </c>
      <c r="AP101" t="n">
        <v>30.0</v>
      </c>
      <c r="AQ101" t="n">
        <v>16.0</v>
      </c>
      <c r="AR101" t="n">
        <v>30.0</v>
      </c>
      <c r="AS101" t="n">
        <v>16.0</v>
      </c>
      <c r="AT101" t="n">
        <v>30.0</v>
      </c>
      <c r="AU101" t="n">
        <v>14.0</v>
      </c>
      <c r="AV101" s="221"/>
    </row>
    <row r="102" spans="2:48" ht="14.1" customHeight="1" x14ac:dyDescent="0.25">
      <c r="B102" t="s">
        <v>150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1.0</v>
      </c>
      <c r="Q102" t="n">
        <v>1.0</v>
      </c>
      <c r="R102" t="n">
        <v>3.0</v>
      </c>
      <c r="S102" t="n">
        <v>1.0</v>
      </c>
      <c r="T102" t="n">
        <v>1.0</v>
      </c>
      <c r="U102" t="n">
        <v>3.0</v>
      </c>
      <c r="V102" t="n">
        <v>30.0</v>
      </c>
      <c r="W102" t="n">
        <v>10.0</v>
      </c>
      <c r="X102" t="n">
        <v>50.0</v>
      </c>
      <c r="Y102" t="n">
        <v>10.0</v>
      </c>
      <c r="Z102" t="n">
        <v>50.0</v>
      </c>
      <c r="AA102" t="n">
        <v>9.0</v>
      </c>
      <c r="AB102" t="n">
        <v>50.0</v>
      </c>
      <c r="AC102" t="n">
        <v>7.0</v>
      </c>
      <c r="AD102" t="n">
        <v>50.0</v>
      </c>
      <c r="AE102" t="n">
        <v>12.0</v>
      </c>
      <c r="AF102" t="n">
        <v>60.0</v>
      </c>
      <c r="AG102" t="n">
        <v>11.0</v>
      </c>
      <c r="AH102" t="n">
        <v>50.0</v>
      </c>
      <c r="AI102" t="n">
        <v>10.0</v>
      </c>
      <c r="AJ102" t="n">
        <v>60.0</v>
      </c>
      <c r="AK102" t="n">
        <v>10.0</v>
      </c>
      <c r="AL102" t="n">
        <v>30.0</v>
      </c>
      <c r="AM102" t="n">
        <v>12.0</v>
      </c>
      <c r="AN102" t="n">
        <v>30.0</v>
      </c>
      <c r="AO102" t="n">
        <v>12.0</v>
      </c>
      <c r="AP102" t="n">
        <v>20.0</v>
      </c>
      <c r="AQ102" t="n">
        <v>15.0</v>
      </c>
      <c r="AR102" t="n">
        <v>30.0</v>
      </c>
      <c r="AS102" t="n">
        <v>15.0</v>
      </c>
      <c r="AT102" t="n">
        <v>30.0</v>
      </c>
      <c r="AU102" t="n">
        <v>13.0</v>
      </c>
      <c r="AV102" s="221"/>
    </row>
    <row r="103" spans="2:48" ht="14.1" customHeight="1" x14ac:dyDescent="0.25">
      <c r="B103" t="s">
        <v>151</v>
      </c>
      <c r="C103" t="n">
        <v>0.0</v>
      </c>
      <c r="D103" t="n">
        <v>0.0</v>
      </c>
      <c r="E103" t="n">
        <v>2.0</v>
      </c>
      <c r="F103" t="n">
        <v>4.0</v>
      </c>
      <c r="G103" t="n">
        <v>5.0</v>
      </c>
      <c r="H103" t="n">
        <v>5.0</v>
      </c>
      <c r="I103" t="n">
        <v>5.0</v>
      </c>
      <c r="J103" t="n">
        <v>5.0</v>
      </c>
      <c r="K103" t="n">
        <v>5.0</v>
      </c>
      <c r="L103" t="n">
        <v>5.0</v>
      </c>
      <c r="M103" t="n">
        <v>5.0</v>
      </c>
      <c r="N103" t="n">
        <v>5.0</v>
      </c>
      <c r="O103" t="n">
        <v>5.0</v>
      </c>
      <c r="P103" t="n">
        <v>3.0</v>
      </c>
      <c r="Q103" t="n">
        <v>3.0</v>
      </c>
      <c r="R103" t="n">
        <v>1.0</v>
      </c>
      <c r="S103" t="n">
        <v>1.0</v>
      </c>
      <c r="T103" t="n">
        <v>1.0</v>
      </c>
      <c r="U103" t="n">
        <v>1.0</v>
      </c>
      <c r="V103" t="n">
        <v>70.0</v>
      </c>
      <c r="W103" t="n">
        <v>4.0</v>
      </c>
      <c r="X103" t="n">
        <v>30.0</v>
      </c>
      <c r="Y103" t="n">
        <v>5.0</v>
      </c>
      <c r="Z103" t="n">
        <v>60.0</v>
      </c>
      <c r="AA103" t="n">
        <v>4.0</v>
      </c>
      <c r="AB103" t="n">
        <v>50.0</v>
      </c>
      <c r="AC103" t="n">
        <v>3.0</v>
      </c>
      <c r="AD103" t="n">
        <v>80.0</v>
      </c>
      <c r="AE103" t="n">
        <v>3.0</v>
      </c>
      <c r="AF103" t="n">
        <v>40.0</v>
      </c>
      <c r="AG103" t="n">
        <v>5.0</v>
      </c>
      <c r="AH103" t="n">
        <v>20.0</v>
      </c>
      <c r="AI103" t="n">
        <v>5.0</v>
      </c>
      <c r="AJ103" t="n">
        <v>20.0</v>
      </c>
      <c r="AK103" t="n">
        <v>6.0</v>
      </c>
      <c r="AL103" t="n">
        <v>20.0</v>
      </c>
      <c r="AM103" t="n">
        <v>8.0</v>
      </c>
      <c r="AN103"/>
      <c r="AO103" t="n">
        <v>10.0</v>
      </c>
      <c r="AP103" t="n">
        <v>360.0</v>
      </c>
      <c r="AQ103" t="n">
        <v>8.0</v>
      </c>
      <c r="AR103"/>
      <c r="AS103" t="n">
        <v>10.0</v>
      </c>
      <c r="AT103" t="n">
        <v>360.0</v>
      </c>
      <c r="AU103" t="n">
        <v>9.0</v>
      </c>
      <c r="AV103" s="221"/>
    </row>
    <row r="104" spans="2:48" ht="14.1" customHeight="1" x14ac:dyDescent="0.25">
      <c r="B104" t="s">
        <v>152</v>
      </c>
      <c r="C104" t="n">
        <v>3.0</v>
      </c>
      <c r="D104" t="n">
        <v>2.0</v>
      </c>
      <c r="E104" t="n">
        <v>0.0</v>
      </c>
      <c r="F104" t="n">
        <v>0.0</v>
      </c>
      <c r="G104" t="n">
        <v>0.0</v>
      </c>
      <c r="H104" t="n">
        <v>2.0</v>
      </c>
      <c r="I104" t="n">
        <v>2.0</v>
      </c>
      <c r="J104" t="n">
        <v>3.0</v>
      </c>
      <c r="K104" t="n">
        <v>4.0</v>
      </c>
      <c r="L104" t="n">
        <v>4.0</v>
      </c>
      <c r="M104" t="n">
        <v>4.0</v>
      </c>
      <c r="N104" t="n">
        <v>2.0</v>
      </c>
      <c r="O104" t="n">
        <v>2.0</v>
      </c>
      <c r="P104" t="n">
        <v>3.0</v>
      </c>
      <c r="Q104" t="n">
        <v>3.0</v>
      </c>
      <c r="R104" t="n">
        <v>3.0</v>
      </c>
      <c r="S104" t="n">
        <v>1.0</v>
      </c>
      <c r="T104" t="n">
        <v>1.0</v>
      </c>
      <c r="U104" t="n">
        <v>1.0</v>
      </c>
      <c r="V104" t="n">
        <v>20.0</v>
      </c>
      <c r="W104" t="n">
        <v>6.0</v>
      </c>
      <c r="X104" t="n">
        <v>40.0</v>
      </c>
      <c r="Y104" t="n">
        <v>5.0</v>
      </c>
      <c r="Z104" t="n">
        <v>80.0</v>
      </c>
      <c r="AA104" t="n">
        <v>4.0</v>
      </c>
      <c r="AB104" t="n">
        <v>60.0</v>
      </c>
      <c r="AC104" t="n">
        <v>4.0</v>
      </c>
      <c r="AD104" t="n">
        <v>80.0</v>
      </c>
      <c r="AE104" t="n">
        <v>3.0</v>
      </c>
      <c r="AF104" t="n">
        <v>20.0</v>
      </c>
      <c r="AG104" t="n">
        <v>6.0</v>
      </c>
      <c r="AH104" t="n">
        <v>30.0</v>
      </c>
      <c r="AI104" t="n">
        <v>6.0</v>
      </c>
      <c r="AJ104" t="n">
        <v>40.0</v>
      </c>
      <c r="AK104" t="n">
        <v>7.0</v>
      </c>
      <c r="AL104" t="n">
        <v>20.0</v>
      </c>
      <c r="AM104" t="n">
        <v>8.0</v>
      </c>
      <c r="AN104" t="n">
        <v>30.0</v>
      </c>
      <c r="AO104" t="n">
        <v>9.0</v>
      </c>
      <c r="AP104" t="n">
        <v>20.0</v>
      </c>
      <c r="AQ104" t="n">
        <v>12.0</v>
      </c>
      <c r="AR104" t="n">
        <v>20.0</v>
      </c>
      <c r="AS104" t="n">
        <v>11.0</v>
      </c>
      <c r="AT104" t="n">
        <v>20.0</v>
      </c>
      <c r="AU104" t="n">
        <v>9.0</v>
      </c>
      <c r="AV104" s="221"/>
    </row>
    <row r="105" spans="2:48" ht="14.1" customHeight="1" x14ac:dyDescent="0.25">
      <c r="B105" t="s">
        <v>153</v>
      </c>
      <c r="C105" t="n">
        <v>7.0</v>
      </c>
      <c r="D105" t="n">
        <v>7.0</v>
      </c>
      <c r="E105" t="n">
        <v>3.0</v>
      </c>
      <c r="F105" t="n">
        <v>1.0</v>
      </c>
      <c r="G105" t="n">
        <v>1.0</v>
      </c>
      <c r="H105" t="n">
        <v>1.0</v>
      </c>
      <c r="I105" t="n">
        <v>1.0</v>
      </c>
      <c r="J105" t="n">
        <v>1.0</v>
      </c>
      <c r="K105" t="n">
        <v>1.0</v>
      </c>
      <c r="L105" t="n">
        <v>2.0</v>
      </c>
      <c r="M105" t="n">
        <v>2.0</v>
      </c>
      <c r="N105" t="n">
        <v>2.0</v>
      </c>
      <c r="O105" t="n">
        <v>2.0</v>
      </c>
      <c r="P105" t="n">
        <v>1.0</v>
      </c>
      <c r="Q105" t="n">
        <v>1.0</v>
      </c>
      <c r="R105" t="n">
        <v>1.0</v>
      </c>
      <c r="S105" t="n">
        <v>1.0</v>
      </c>
      <c r="T105" t="n">
        <v>1.0</v>
      </c>
      <c r="U105" t="n">
        <v>1.0</v>
      </c>
      <c r="V105" t="n">
        <v>30.0</v>
      </c>
      <c r="W105" t="n">
        <v>7.0</v>
      </c>
      <c r="X105" t="n">
        <v>20.0</v>
      </c>
      <c r="Y105" t="n">
        <v>7.0</v>
      </c>
      <c r="Z105" t="n">
        <v>20.0</v>
      </c>
      <c r="AA105" t="n">
        <v>9.0</v>
      </c>
      <c r="AB105" t="n">
        <v>20.0</v>
      </c>
      <c r="AC105" t="n">
        <v>6.0</v>
      </c>
      <c r="AD105" t="n">
        <v>20.0</v>
      </c>
      <c r="AE105" t="n">
        <v>6.0</v>
      </c>
      <c r="AF105" t="n">
        <v>20.0</v>
      </c>
      <c r="AG105" t="n">
        <v>4.0</v>
      </c>
      <c r="AH105" t="n">
        <v>270.0</v>
      </c>
      <c r="AI105" t="n">
        <v>4.0</v>
      </c>
      <c r="AJ105" t="n">
        <v>350.0</v>
      </c>
      <c r="AK105" t="n">
        <v>7.0</v>
      </c>
      <c r="AL105" t="n">
        <v>360.0</v>
      </c>
      <c r="AM105" t="n">
        <v>8.0</v>
      </c>
      <c r="AN105" t="n">
        <v>30.0</v>
      </c>
      <c r="AO105" t="n">
        <v>9.0</v>
      </c>
      <c r="AP105" t="n">
        <v>20.0</v>
      </c>
      <c r="AQ105" t="n">
        <v>8.0</v>
      </c>
      <c r="AR105" t="n">
        <v>20.0</v>
      </c>
      <c r="AS105" t="n">
        <v>10.0</v>
      </c>
      <c r="AT105" t="n">
        <v>10.0</v>
      </c>
      <c r="AU105" t="n">
        <v>8.0</v>
      </c>
      <c r="AV105" s="221"/>
    </row>
    <row r="106" spans="2:48" ht="14.1" customHeight="1" x14ac:dyDescent="0.25">
      <c r="B106" t="s">
        <v>154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1.0</v>
      </c>
      <c r="Q106" t="n">
        <v>1.0</v>
      </c>
      <c r="R106" t="n">
        <v>1.0</v>
      </c>
      <c r="S106" t="n">
        <v>1.0</v>
      </c>
      <c r="T106" t="n">
        <v>1.0</v>
      </c>
      <c r="U106" t="n">
        <v>1.0</v>
      </c>
      <c r="V106" t="n">
        <v>20.0</v>
      </c>
      <c r="W106" t="n">
        <v>10.0</v>
      </c>
      <c r="X106" t="n">
        <v>30.0</v>
      </c>
      <c r="Y106" t="n">
        <v>10.0</v>
      </c>
      <c r="Z106" t="n">
        <v>30.0</v>
      </c>
      <c r="AA106" t="n">
        <v>8.0</v>
      </c>
      <c r="AB106" t="n">
        <v>30.0</v>
      </c>
      <c r="AC106" t="n">
        <v>9.0</v>
      </c>
      <c r="AD106" t="n">
        <v>30.0</v>
      </c>
      <c r="AE106" t="n">
        <v>10.0</v>
      </c>
      <c r="AF106" t="n">
        <v>30.0</v>
      </c>
      <c r="AG106" t="n">
        <v>9.0</v>
      </c>
      <c r="AH106" t="n">
        <v>50.0</v>
      </c>
      <c r="AI106" t="n">
        <v>5.0</v>
      </c>
      <c r="AJ106" t="n">
        <v>30.0</v>
      </c>
      <c r="AK106" t="n">
        <v>6.0</v>
      </c>
      <c r="AL106" t="n">
        <v>360.0</v>
      </c>
      <c r="AM106" t="n">
        <v>7.0</v>
      </c>
      <c r="AN106" t="n">
        <v>10.0</v>
      </c>
      <c r="AO106" t="n">
        <v>7.0</v>
      </c>
      <c r="AP106" t="n">
        <v>10.0</v>
      </c>
      <c r="AQ106" t="n">
        <v>6.0</v>
      </c>
      <c r="AR106" t="n">
        <v>360.0</v>
      </c>
      <c r="AS106" t="n">
        <v>8.0</v>
      </c>
      <c r="AT106" t="n">
        <v>350.0</v>
      </c>
      <c r="AU106" t="n">
        <v>11.0</v>
      </c>
      <c r="AV106" s="221"/>
    </row>
    <row r="107" spans="2:48" ht="14.1" customHeight="1" x14ac:dyDescent="0.25">
      <c r="B107" t="s">
        <v>155</v>
      </c>
      <c r="C107" t="n">
        <v>0.0</v>
      </c>
      <c r="D107" t="n">
        <v>4.0</v>
      </c>
      <c r="E107" t="n">
        <v>4.0</v>
      </c>
      <c r="F107" t="n">
        <v>5.0</v>
      </c>
      <c r="G107" t="n">
        <v>5.0</v>
      </c>
      <c r="H107" t="n">
        <v>3.0</v>
      </c>
      <c r="I107" t="n">
        <v>2.0</v>
      </c>
      <c r="J107" t="n">
        <v>4.0</v>
      </c>
      <c r="K107" t="n">
        <v>4.0</v>
      </c>
      <c r="L107" t="n">
        <v>4.0</v>
      </c>
      <c r="M107" t="n">
        <v>4.0</v>
      </c>
      <c r="N107" t="n">
        <v>2.0</v>
      </c>
      <c r="O107" t="n">
        <v>2.0</v>
      </c>
      <c r="P107" t="n">
        <v>2.0</v>
      </c>
      <c r="Q107" t="n">
        <v>1.0</v>
      </c>
      <c r="R107" t="n">
        <v>1.0</v>
      </c>
      <c r="S107" t="n">
        <v>1.0</v>
      </c>
      <c r="T107" t="n">
        <v>1.0</v>
      </c>
      <c r="U107" t="n">
        <v>5.0</v>
      </c>
      <c r="V107" t="n">
        <v>350.0</v>
      </c>
      <c r="W107" t="n">
        <v>6.0</v>
      </c>
      <c r="X107" t="n">
        <v>340.0</v>
      </c>
      <c r="Y107" t="n">
        <v>6.0</v>
      </c>
      <c r="Z107" t="n">
        <v>350.0</v>
      </c>
      <c r="AA107" t="n">
        <v>5.0</v>
      </c>
      <c r="AB107"/>
      <c r="AC107" t="n">
        <v>0.0</v>
      </c>
      <c r="AD107" t="n">
        <v>360.0</v>
      </c>
      <c r="AE107" t="n">
        <v>4.0</v>
      </c>
      <c r="AF107" t="n">
        <v>350.0</v>
      </c>
      <c r="AG107" t="n">
        <v>3.0</v>
      </c>
      <c r="AH107" t="n">
        <v>20.0</v>
      </c>
      <c r="AI107" t="n">
        <v>3.0</v>
      </c>
      <c r="AJ107" t="n">
        <v>40.0</v>
      </c>
      <c r="AK107" t="n">
        <v>6.0</v>
      </c>
      <c r="AL107" t="n">
        <v>20.0</v>
      </c>
      <c r="AM107" t="n">
        <v>7.0</v>
      </c>
      <c r="AN107" t="n">
        <v>20.0</v>
      </c>
      <c r="AO107" t="n">
        <v>10.0</v>
      </c>
      <c r="AP107" t="n">
        <v>30.0</v>
      </c>
      <c r="AQ107" t="n">
        <v>10.0</v>
      </c>
      <c r="AR107" t="n">
        <v>20.0</v>
      </c>
      <c r="AS107" t="n">
        <v>10.0</v>
      </c>
      <c r="AT107" t="n">
        <v>30.0</v>
      </c>
      <c r="AU107" t="n">
        <v>7.0</v>
      </c>
      <c r="AV107" s="221"/>
    </row>
    <row r="108" spans="2:48" ht="14.1" customHeight="1" x14ac:dyDescent="0.25">
      <c r="B108" t="s">
        <v>156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1.0</v>
      </c>
      <c r="M108" t="n">
        <v>2.0</v>
      </c>
      <c r="N108" t="n">
        <v>2.0</v>
      </c>
      <c r="O108" t="n">
        <v>2.0</v>
      </c>
      <c r="P108" t="n">
        <v>1.0</v>
      </c>
      <c r="Q108" t="n">
        <v>5.0</v>
      </c>
      <c r="R108" t="n">
        <v>7.0</v>
      </c>
      <c r="S108" t="n">
        <v>5.0</v>
      </c>
      <c r="T108" t="n">
        <v>4.0</v>
      </c>
      <c r="U108" t="n">
        <v>2.0</v>
      </c>
      <c r="V108" t="n">
        <v>20.0</v>
      </c>
      <c r="W108" t="n">
        <v>8.0</v>
      </c>
      <c r="X108" t="n">
        <v>20.0</v>
      </c>
      <c r="Y108" t="n">
        <v>7.0</v>
      </c>
      <c r="Z108" t="n">
        <v>30.0</v>
      </c>
      <c r="AA108" t="n">
        <v>4.0</v>
      </c>
      <c r="AB108" t="n">
        <v>100.0</v>
      </c>
      <c r="AC108" t="n">
        <v>2.0</v>
      </c>
      <c r="AD108" t="n">
        <v>70.0</v>
      </c>
      <c r="AE108" t="n">
        <v>4.0</v>
      </c>
      <c r="AF108" t="n">
        <v>20.0</v>
      </c>
      <c r="AG108" t="n">
        <v>2.0</v>
      </c>
      <c r="AH108" t="n">
        <v>340.0</v>
      </c>
      <c r="AI108" t="n">
        <v>3.0</v>
      </c>
      <c r="AJ108" t="n">
        <v>340.0</v>
      </c>
      <c r="AK108" t="n">
        <v>5.0</v>
      </c>
      <c r="AL108" t="n">
        <v>330.0</v>
      </c>
      <c r="AM108" t="n">
        <v>10.0</v>
      </c>
      <c r="AN108" t="n">
        <v>340.0</v>
      </c>
      <c r="AO108" t="n">
        <v>9.0</v>
      </c>
      <c r="AP108" t="n">
        <v>320.0</v>
      </c>
      <c r="AQ108" t="n">
        <v>8.0</v>
      </c>
      <c r="AR108" t="n">
        <v>330.0</v>
      </c>
      <c r="AS108" t="n">
        <v>11.0</v>
      </c>
      <c r="AT108" t="n">
        <v>330.0</v>
      </c>
      <c r="AU108" t="n">
        <v>9.0</v>
      </c>
      <c r="AV108" s="221"/>
    </row>
    <row r="109" spans="2:48" ht="14.1" customHeight="1" x14ac:dyDescent="0.25">
      <c r="B109" t="s">
        <v>157</v>
      </c>
      <c r="C109" t="n">
        <v>7.0</v>
      </c>
      <c r="D109" t="n">
        <v>7.0</v>
      </c>
      <c r="E109" t="n">
        <v>7.0</v>
      </c>
      <c r="F109" t="n">
        <v>7.0</v>
      </c>
      <c r="G109" t="n">
        <v>7.0</v>
      </c>
      <c r="H109" t="n">
        <v>7.0</v>
      </c>
      <c r="I109" t="n">
        <v>7.0</v>
      </c>
      <c r="J109" t="n">
        <v>6.0</v>
      </c>
      <c r="K109" t="n">
        <v>6.0</v>
      </c>
      <c r="L109" t="n">
        <v>6.0</v>
      </c>
      <c r="M109" t="n">
        <v>6.0</v>
      </c>
      <c r="N109" t="n">
        <v>4.0</v>
      </c>
      <c r="O109" t="n">
        <v>4.0</v>
      </c>
      <c r="P109" t="n">
        <v>5.0</v>
      </c>
      <c r="Q109" t="n">
        <v>3.0</v>
      </c>
      <c r="R109" t="n">
        <v>5.0</v>
      </c>
      <c r="S109" t="n">
        <v>5.0</v>
      </c>
      <c r="T109" t="n">
        <v>4.0</v>
      </c>
      <c r="U109" t="n">
        <v>1.0</v>
      </c>
      <c r="V109" t="n">
        <v>230.0</v>
      </c>
      <c r="W109" t="n">
        <v>7.0</v>
      </c>
      <c r="X109" t="n">
        <v>210.0</v>
      </c>
      <c r="Y109" t="n">
        <v>7.0</v>
      </c>
      <c r="Z109" t="n">
        <v>230.0</v>
      </c>
      <c r="AA109" t="n">
        <v>9.0</v>
      </c>
      <c r="AB109" t="n">
        <v>220.0</v>
      </c>
      <c r="AC109" t="n">
        <v>6.0</v>
      </c>
      <c r="AD109" t="n">
        <v>240.0</v>
      </c>
      <c r="AE109" t="n">
        <v>10.0</v>
      </c>
      <c r="AF109" t="n">
        <v>170.0</v>
      </c>
      <c r="AG109" t="n">
        <v>7.0</v>
      </c>
      <c r="AH109" t="n">
        <v>190.0</v>
      </c>
      <c r="AI109" t="n">
        <v>8.0</v>
      </c>
      <c r="AJ109" t="n">
        <v>210.0</v>
      </c>
      <c r="AK109" t="n">
        <v>4.0</v>
      </c>
      <c r="AL109" t="n">
        <v>150.0</v>
      </c>
      <c r="AM109" t="n">
        <v>5.0</v>
      </c>
      <c r="AN109" t="n">
        <v>350.0</v>
      </c>
      <c r="AO109" t="n">
        <v>7.0</v>
      </c>
      <c r="AP109" t="n">
        <v>10.0</v>
      </c>
      <c r="AQ109" t="n">
        <v>7.0</v>
      </c>
      <c r="AR109" t="n">
        <v>350.0</v>
      </c>
      <c r="AS109" t="n">
        <v>9.0</v>
      </c>
      <c r="AT109" t="n">
        <v>320.0</v>
      </c>
      <c r="AU109" t="n">
        <v>6.0</v>
      </c>
      <c r="AV109" s="221"/>
    </row>
    <row r="110" spans="2:48" ht="14.1" customHeight="1" x14ac:dyDescent="0.25">
      <c r="B110" t="s">
        <v>158</v>
      </c>
      <c r="C110" t="n">
        <v>4.0</v>
      </c>
      <c r="D110" t="n">
        <v>4.0</v>
      </c>
      <c r="E110" t="n">
        <v>4.0</v>
      </c>
      <c r="F110" t="n">
        <v>4.0</v>
      </c>
      <c r="G110" t="n">
        <v>4.0</v>
      </c>
      <c r="H110" t="n">
        <v>7.0</v>
      </c>
      <c r="I110" t="n">
        <v>7.0</v>
      </c>
      <c r="J110" t="n">
        <v>7.0</v>
      </c>
      <c r="K110" t="n">
        <v>7.0</v>
      </c>
      <c r="L110" t="n">
        <v>7.0</v>
      </c>
      <c r="M110" t="n">
        <v>7.0</v>
      </c>
      <c r="N110" t="n">
        <v>7.0</v>
      </c>
      <c r="O110" t="n">
        <v>7.0</v>
      </c>
      <c r="P110" t="n">
        <v>4.0</v>
      </c>
      <c r="Q110" t="n">
        <v>1.0</v>
      </c>
      <c r="R110" t="n">
        <v>3.0</v>
      </c>
      <c r="S110" t="n">
        <v>1.0</v>
      </c>
      <c r="T110" t="n">
        <v>1.0</v>
      </c>
      <c r="U110" t="n">
        <v>1.0</v>
      </c>
      <c r="V110" t="n">
        <v>230.0</v>
      </c>
      <c r="W110" t="n">
        <v>6.0</v>
      </c>
      <c r="X110" t="n">
        <v>200.0</v>
      </c>
      <c r="Y110" t="n">
        <v>4.0</v>
      </c>
      <c r="Z110" t="n">
        <v>230.0</v>
      </c>
      <c r="AA110" t="n">
        <v>6.0</v>
      </c>
      <c r="AB110" t="n">
        <v>240.0</v>
      </c>
      <c r="AC110" t="n">
        <v>6.0</v>
      </c>
      <c r="AD110" t="n">
        <v>260.0</v>
      </c>
      <c r="AE110" t="n">
        <v>7.0</v>
      </c>
      <c r="AF110" t="n">
        <v>240.0</v>
      </c>
      <c r="AG110" t="n">
        <v>8.0</v>
      </c>
      <c r="AH110" t="n">
        <v>270.0</v>
      </c>
      <c r="AI110" t="n">
        <v>9.0</v>
      </c>
      <c r="AJ110" t="n">
        <v>240.0</v>
      </c>
      <c r="AK110" t="n">
        <v>7.0</v>
      </c>
      <c r="AL110" t="n">
        <v>210.0</v>
      </c>
      <c r="AM110" t="n">
        <v>4.0</v>
      </c>
      <c r="AN110" t="n">
        <v>210.0</v>
      </c>
      <c r="AO110" t="n">
        <v>4.0</v>
      </c>
      <c r="AP110" t="n">
        <v>210.0</v>
      </c>
      <c r="AQ110" t="n">
        <v>3.0</v>
      </c>
      <c r="AR110" t="n">
        <v>20.0</v>
      </c>
      <c r="AS110" t="n">
        <v>11.0</v>
      </c>
      <c r="AT110" t="n">
        <v>30.0</v>
      </c>
      <c r="AU110" t="n">
        <v>8.0</v>
      </c>
      <c r="AV110" s="221"/>
    </row>
    <row r="111" spans="2:48" ht="14.1" customHeight="1" x14ac:dyDescent="0.25">
      <c r="B111" t="s">
        <v>159</v>
      </c>
      <c r="C111" t="n">
        <v>0.0</v>
      </c>
      <c r="D111" t="n">
        <v>0.0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2.0</v>
      </c>
      <c r="K111" t="n">
        <v>2.0</v>
      </c>
      <c r="L111" t="n">
        <v>2.0</v>
      </c>
      <c r="M111" t="n">
        <v>3.0</v>
      </c>
      <c r="N111" t="n">
        <v>2.0</v>
      </c>
      <c r="O111" t="n">
        <v>2.0</v>
      </c>
      <c r="P111" t="n">
        <v>1.0</v>
      </c>
      <c r="Q111" t="n">
        <v>1.0</v>
      </c>
      <c r="R111" t="n">
        <v>1.0</v>
      </c>
      <c r="S111" t="n">
        <v>2.0</v>
      </c>
      <c r="T111" t="n">
        <v>3.0</v>
      </c>
      <c r="U111" t="n">
        <v>5.0</v>
      </c>
      <c r="V111" t="n">
        <v>30.0</v>
      </c>
      <c r="W111" t="n">
        <v>4.0</v>
      </c>
      <c r="X111" t="n">
        <v>20.0</v>
      </c>
      <c r="Y111" t="n">
        <v>4.0</v>
      </c>
      <c r="Z111" t="n">
        <v>30.0</v>
      </c>
      <c r="AA111" t="n">
        <v>4.0</v>
      </c>
      <c r="AB111" t="n">
        <v>10.0</v>
      </c>
      <c r="AC111" t="n">
        <v>4.0</v>
      </c>
      <c r="AD111" t="n">
        <v>20.0</v>
      </c>
      <c r="AE111" t="n">
        <v>1.0</v>
      </c>
      <c r="AF111" t="n">
        <v>230.0</v>
      </c>
      <c r="AG111" t="n">
        <v>3.0</v>
      </c>
      <c r="AH111" t="n">
        <v>200.0</v>
      </c>
      <c r="AI111" t="n">
        <v>4.0</v>
      </c>
      <c r="AJ111" t="n">
        <v>230.0</v>
      </c>
      <c r="AK111" t="n">
        <v>5.0</v>
      </c>
      <c r="AL111" t="n">
        <v>250.0</v>
      </c>
      <c r="AM111" t="n">
        <v>4.0</v>
      </c>
      <c r="AN111" t="n">
        <v>180.0</v>
      </c>
      <c r="AO111" t="n">
        <v>6.0</v>
      </c>
      <c r="AP111" t="n">
        <v>260.0</v>
      </c>
      <c r="AQ111" t="n">
        <v>5.0</v>
      </c>
      <c r="AR111" t="n">
        <v>260.0</v>
      </c>
      <c r="AS111" t="n">
        <v>5.0</v>
      </c>
      <c r="AT111" t="n">
        <v>240.0</v>
      </c>
      <c r="AU111" t="n">
        <v>3.0</v>
      </c>
      <c r="AV111" s="221"/>
    </row>
    <row r="112" spans="2:48" ht="14.1" customHeight="1" x14ac:dyDescent="0.25">
      <c r="B112" t="s">
        <v>160</v>
      </c>
      <c r="C112" t="n">
        <v>1.0</v>
      </c>
      <c r="D112" t="n">
        <v>2.0</v>
      </c>
      <c r="E112" t="n">
        <v>3.0</v>
      </c>
      <c r="F112" t="n">
        <v>3.0</v>
      </c>
      <c r="G112" t="n">
        <v>2.0</v>
      </c>
      <c r="H112" t="n">
        <v>3.0</v>
      </c>
      <c r="I112" t="n">
        <v>5.0</v>
      </c>
      <c r="J112" t="n">
        <v>5.0</v>
      </c>
      <c r="K112" t="n">
        <v>5.0</v>
      </c>
      <c r="L112" t="n">
        <v>5.0</v>
      </c>
      <c r="M112" t="n">
        <v>5.0</v>
      </c>
      <c r="N112" t="n">
        <v>5.0</v>
      </c>
      <c r="O112" t="n">
        <v>5.0</v>
      </c>
      <c r="P112" t="n">
        <v>1.0</v>
      </c>
      <c r="Q112" t="n">
        <v>5.0</v>
      </c>
      <c r="R112" t="n">
        <v>1.0</v>
      </c>
      <c r="S112" t="n">
        <v>0.0</v>
      </c>
      <c r="T112" t="n">
        <v>0.0</v>
      </c>
      <c r="U112" t="n">
        <v>0.0</v>
      </c>
      <c r="V112" t="n">
        <v>90.0</v>
      </c>
      <c r="W112" t="n">
        <v>3.0</v>
      </c>
      <c r="X112" t="n">
        <v>120.0</v>
      </c>
      <c r="Y112" t="n">
        <v>3.0</v>
      </c>
      <c r="Z112" t="n">
        <v>170.0</v>
      </c>
      <c r="AA112" t="n">
        <v>4.0</v>
      </c>
      <c r="AB112" t="n">
        <v>160.0</v>
      </c>
      <c r="AC112" t="n">
        <v>4.0</v>
      </c>
      <c r="AD112" t="n">
        <v>160.0</v>
      </c>
      <c r="AE112" t="n">
        <v>6.0</v>
      </c>
      <c r="AF112" t="n">
        <v>170.0</v>
      </c>
      <c r="AG112" t="n">
        <v>4.0</v>
      </c>
      <c r="AH112" t="n">
        <v>180.0</v>
      </c>
      <c r="AI112" t="n">
        <v>4.0</v>
      </c>
      <c r="AJ112" t="n">
        <v>190.0</v>
      </c>
      <c r="AK112" t="n">
        <v>4.0</v>
      </c>
      <c r="AL112" t="n">
        <v>180.0</v>
      </c>
      <c r="AM112" t="n">
        <v>4.0</v>
      </c>
      <c r="AN112" t="n">
        <v>220.0</v>
      </c>
      <c r="AO112" t="n">
        <v>7.0</v>
      </c>
      <c r="AP112" t="n">
        <v>250.0</v>
      </c>
      <c r="AQ112" t="n">
        <v>8.0</v>
      </c>
      <c r="AR112" t="n">
        <v>290.0</v>
      </c>
      <c r="AS112" t="n">
        <v>6.0</v>
      </c>
      <c r="AT112" t="n">
        <v>360.0</v>
      </c>
      <c r="AU112" t="n">
        <v>8.0</v>
      </c>
      <c r="AV112" s="221"/>
    </row>
    <row r="113" spans="2:48" ht="14.1" customHeight="1" x14ac:dyDescent="0.25">
      <c r="B113" t="s">
        <v>161</v>
      </c>
      <c r="C113" t="n">
        <v>5.0</v>
      </c>
      <c r="D113" t="n">
        <v>4.0</v>
      </c>
      <c r="E113" t="n">
        <v>4.0</v>
      </c>
      <c r="F113" t="n">
        <v>4.0</v>
      </c>
      <c r="G113" t="n">
        <v>3.0</v>
      </c>
      <c r="H113" t="n">
        <v>2.0</v>
      </c>
      <c r="I113" t="n">
        <v>4.0</v>
      </c>
      <c r="J113" t="n">
        <v>4.0</v>
      </c>
      <c r="K113" t="n">
        <v>4.0</v>
      </c>
      <c r="L113" t="n">
        <v>4.0</v>
      </c>
      <c r="M113" t="n">
        <v>4.0</v>
      </c>
      <c r="N113" t="n">
        <v>4.0</v>
      </c>
      <c r="O113" t="n">
        <v>3.0</v>
      </c>
      <c r="P113" t="n">
        <v>1.0</v>
      </c>
      <c r="Q113" t="n">
        <v>1.0</v>
      </c>
      <c r="R113" t="n">
        <v>1.0</v>
      </c>
      <c r="S113" t="n">
        <v>1.0</v>
      </c>
      <c r="T113" t="n">
        <v>3.0</v>
      </c>
      <c r="U113" t="n">
        <v>2.0</v>
      </c>
      <c r="V113" t="n">
        <v>90.0</v>
      </c>
      <c r="W113" t="n">
        <v>5.0</v>
      </c>
      <c r="X113" t="n">
        <v>110.0</v>
      </c>
      <c r="Y113" t="n">
        <v>6.0</v>
      </c>
      <c r="Z113" t="n">
        <v>110.0</v>
      </c>
      <c r="AA113" t="n">
        <v>7.0</v>
      </c>
      <c r="AB113" t="n">
        <v>120.0</v>
      </c>
      <c r="AC113" t="n">
        <v>4.0</v>
      </c>
      <c r="AD113" t="n">
        <v>120.0</v>
      </c>
      <c r="AE113" t="n">
        <v>7.0</v>
      </c>
      <c r="AF113" t="n">
        <v>130.0</v>
      </c>
      <c r="AG113" t="n">
        <v>8.0</v>
      </c>
      <c r="AH113" t="n">
        <v>140.0</v>
      </c>
      <c r="AI113" t="n">
        <v>10.0</v>
      </c>
      <c r="AJ113" t="n">
        <v>130.0</v>
      </c>
      <c r="AK113" t="n">
        <v>8.0</v>
      </c>
      <c r="AL113" t="n">
        <v>80.0</v>
      </c>
      <c r="AM113" t="n">
        <v>4.0</v>
      </c>
      <c r="AN113" t="n">
        <v>20.0</v>
      </c>
      <c r="AO113" t="n">
        <v>2.0</v>
      </c>
      <c r="AP113" t="n">
        <v>360.0</v>
      </c>
      <c r="AQ113" t="n">
        <v>12.0</v>
      </c>
      <c r="AR113" t="n">
        <v>10.0</v>
      </c>
      <c r="AS113" t="n">
        <v>13.0</v>
      </c>
      <c r="AT113" t="n">
        <v>360.0</v>
      </c>
      <c r="AU113" t="n">
        <v>8.0</v>
      </c>
      <c r="AV113" s="221"/>
    </row>
  </sheetData>
  <mergeCells count="68">
    <mergeCell ref="C1:D1"/>
    <mergeCell ref="H1:I1"/>
    <mergeCell ref="B3:B5"/>
    <mergeCell ref="C3:F4"/>
    <mergeCell ref="G3:N3"/>
    <mergeCell ref="Q12:R12"/>
    <mergeCell ref="Q3:R5"/>
    <mergeCell ref="G4:H4"/>
    <mergeCell ref="I4:J4"/>
    <mergeCell ref="K4:L4"/>
    <mergeCell ref="M4:N4"/>
    <mergeCell ref="Q6:R6"/>
    <mergeCell ref="O3:P4"/>
    <mergeCell ref="Q7:R7"/>
    <mergeCell ref="Q8:R8"/>
    <mergeCell ref="Q9:R9"/>
    <mergeCell ref="Q10:R10"/>
    <mergeCell ref="Q11:R11"/>
    <mergeCell ref="Q24:R24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36:R36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B40:B42"/>
    <mergeCell ref="C40:H40"/>
    <mergeCell ref="I40:T40"/>
    <mergeCell ref="U40:W40"/>
    <mergeCell ref="X40:Y40"/>
    <mergeCell ref="C41:D41"/>
    <mergeCell ref="E41:F41"/>
    <mergeCell ref="G41:H41"/>
    <mergeCell ref="I41:L41"/>
    <mergeCell ref="M41:P41"/>
    <mergeCell ref="Q41:T41"/>
    <mergeCell ref="X41:X42"/>
    <mergeCell ref="Y41:Y42"/>
    <mergeCell ref="C42:D42"/>
    <mergeCell ref="E42:F42"/>
    <mergeCell ref="G42:H42"/>
    <mergeCell ref="B79:B81"/>
    <mergeCell ref="C79:O80"/>
    <mergeCell ref="P79:U79"/>
    <mergeCell ref="V79:AU79"/>
    <mergeCell ref="P80:Q80"/>
    <mergeCell ref="R80:S80"/>
    <mergeCell ref="T80:U80"/>
    <mergeCell ref="P81:Q81"/>
    <mergeCell ref="R81:S81"/>
    <mergeCell ref="T81:U81"/>
  </mergeCells>
  <conditionalFormatting sqref="B82:AU113">
    <cfRule type="cellIs" dxfId="459" priority="6" operator="equal">
      <formula>""</formula>
    </cfRule>
  </conditionalFormatting>
  <conditionalFormatting sqref="B6:P36">
    <cfRule type="cellIs" dxfId="458" priority="5" operator="equal">
      <formula>""</formula>
    </cfRule>
  </conditionalFormatting>
  <conditionalFormatting sqref="U43:Y74">
    <cfRule type="cellIs" dxfId="457" priority="4" operator="equal">
      <formula>""</formula>
    </cfRule>
  </conditionalFormatting>
  <conditionalFormatting sqref="C43:T74">
    <cfRule type="cellIs" dxfId="456" priority="3" operator="equal">
      <formula>""</formula>
    </cfRule>
  </conditionalFormatting>
  <conditionalFormatting sqref="B43:B74">
    <cfRule type="cellIs" dxfId="455" priority="2" operator="equal">
      <formula>""</formula>
    </cfRule>
  </conditionalFormatting>
  <conditionalFormatting sqref="Q6:Q36">
    <cfRule type="cellIs" dxfId="454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6A73-5D9D-4772-B887-71F56C5D77B5}">
  <dimension ref="B1:AV113"/>
  <sheetViews>
    <sheetView topLeftCell="A14" zoomScaleNormal="100" workbookViewId="0">
      <selection activeCell="N43" sqref="N43"/>
    </sheetView>
  </sheetViews>
  <sheetFormatPr baseColWidth="10" defaultRowHeight="14.1" customHeight="1" x14ac:dyDescent="0.25"/>
  <cols>
    <col min="1" max="1" style="224" width="11.42578125" collapsed="true"/>
    <col min="2" max="2" customWidth="true" style="224" width="18.28515625" collapsed="true"/>
    <col min="3" max="16384" style="224" width="11.42578125" collapsed="true"/>
  </cols>
  <sheetData>
    <row r="1" spans="2:18" s="4" customFormat="1" ht="30" customHeight="1" thickBot="1" x14ac:dyDescent="0.3">
      <c r="B1" s="217" t="s">
        <v>4</v>
      </c>
      <c r="C1" s="276"/>
      <c r="D1" s="277"/>
      <c r="E1" s="216"/>
      <c r="F1" s="216"/>
      <c r="G1" s="217" t="s">
        <v>6</v>
      </c>
      <c r="H1" s="276"/>
      <c r="I1" s="277"/>
    </row>
    <row r="2" spans="2:18" ht="33" customHeight="1" thickBot="1" x14ac:dyDescent="0.3"/>
    <row r="3" spans="2:18" s="177" customFormat="1" ht="24.95" customHeight="1" thickBot="1" x14ac:dyDescent="0.3">
      <c r="B3" s="260" t="s">
        <v>5</v>
      </c>
      <c r="C3" s="244" t="s">
        <v>106</v>
      </c>
      <c r="D3" s="245"/>
      <c r="E3" s="245"/>
      <c r="F3" s="246"/>
      <c r="G3" s="253" t="s">
        <v>105</v>
      </c>
      <c r="H3" s="254"/>
      <c r="I3" s="254"/>
      <c r="J3" s="254"/>
      <c r="K3" s="254"/>
      <c r="L3" s="254"/>
      <c r="M3" s="254"/>
      <c r="N3" s="255"/>
      <c r="O3" s="286" t="s">
        <v>113</v>
      </c>
      <c r="P3" s="287"/>
      <c r="Q3" s="278" t="s">
        <v>130</v>
      </c>
      <c r="R3" s="279"/>
    </row>
    <row r="4" spans="2:18" s="177" customFormat="1" ht="24.95" customHeight="1" thickBot="1" x14ac:dyDescent="0.3">
      <c r="B4" s="261"/>
      <c r="C4" s="247"/>
      <c r="D4" s="248"/>
      <c r="E4" s="248"/>
      <c r="F4" s="249"/>
      <c r="G4" s="284" t="s">
        <v>37</v>
      </c>
      <c r="H4" s="285"/>
      <c r="I4" s="284" t="s">
        <v>36</v>
      </c>
      <c r="J4" s="285"/>
      <c r="K4" s="284" t="s">
        <v>35</v>
      </c>
      <c r="L4" s="285"/>
      <c r="M4" s="284" t="s">
        <v>34</v>
      </c>
      <c r="N4" s="285"/>
      <c r="O4" s="288"/>
      <c r="P4" s="289"/>
      <c r="Q4" s="280"/>
      <c r="R4" s="281"/>
    </row>
    <row r="5" spans="2:18" s="177" customFormat="1" ht="24.95" customHeight="1" x14ac:dyDescent="0.25">
      <c r="B5" s="262"/>
      <c r="C5" s="225" t="s">
        <v>37</v>
      </c>
      <c r="D5" s="225" t="s">
        <v>36</v>
      </c>
      <c r="E5" s="225" t="s">
        <v>35</v>
      </c>
      <c r="F5" s="225" t="s">
        <v>34</v>
      </c>
      <c r="G5" s="226" t="s">
        <v>23</v>
      </c>
      <c r="H5" s="227" t="s">
        <v>24</v>
      </c>
      <c r="I5" s="226" t="s">
        <v>23</v>
      </c>
      <c r="J5" s="227" t="s">
        <v>24</v>
      </c>
      <c r="K5" s="226" t="s">
        <v>23</v>
      </c>
      <c r="L5" s="227" t="s">
        <v>24</v>
      </c>
      <c r="M5" s="226" t="s">
        <v>23</v>
      </c>
      <c r="N5" s="227" t="s">
        <v>24</v>
      </c>
      <c r="O5" s="228" t="s">
        <v>20</v>
      </c>
      <c r="P5" s="229" t="s">
        <v>21</v>
      </c>
      <c r="Q5" s="282"/>
      <c r="R5" s="283"/>
    </row>
    <row r="6" spans="2:18" ht="14.1" customHeight="1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76"/>
      <c r="R6" s="277"/>
    </row>
    <row r="7" spans="2:18" ht="14.1" customHeight="1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76"/>
      <c r="R7" s="277"/>
    </row>
    <row r="8" spans="2:18" ht="14.1" customHeight="1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76"/>
      <c r="R8" s="277"/>
    </row>
    <row r="9" spans="2:18" ht="14.1" customHeight="1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76"/>
      <c r="R9" s="277"/>
    </row>
    <row r="10" spans="2:18" ht="14.1" customHeight="1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76"/>
      <c r="R10" s="277"/>
    </row>
    <row r="11" spans="2:18" ht="14.1" customHeight="1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76"/>
      <c r="R11" s="277"/>
    </row>
    <row r="12" spans="2:18" ht="14.1" customHeight="1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76"/>
      <c r="R12" s="277"/>
    </row>
    <row r="13" spans="2:18" ht="14.1" customHeight="1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76"/>
      <c r="R13" s="277"/>
    </row>
    <row r="14" spans="2:18" ht="14.1" customHeight="1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76"/>
      <c r="R14" s="277"/>
    </row>
    <row r="15" spans="2:18" ht="14.1" customHeight="1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76"/>
      <c r="R15" s="277"/>
    </row>
    <row r="16" spans="2:18" ht="14.1" customHeight="1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76"/>
      <c r="R16" s="277"/>
    </row>
    <row r="17" spans="2:18" ht="14.1" customHeight="1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76"/>
      <c r="R17" s="277"/>
    </row>
    <row r="18" spans="2:18" ht="14.1" customHeight="1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76"/>
      <c r="R18" s="277"/>
    </row>
    <row r="19" spans="2:18" ht="14.1" customHeight="1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76"/>
      <c r="R19" s="277"/>
    </row>
    <row r="20" spans="2:18" ht="14.1" customHeight="1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76"/>
      <c r="R20" s="277"/>
    </row>
    <row r="21" spans="2:18" ht="14.1" customHeight="1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76"/>
      <c r="R21" s="277"/>
    </row>
    <row r="22" spans="2:18" ht="14.1" customHeight="1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76"/>
      <c r="R22" s="277"/>
    </row>
    <row r="23" spans="2:18" ht="14.1" customHeight="1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76"/>
      <c r="R23" s="277"/>
    </row>
    <row r="24" spans="2:18" ht="14.1" customHeight="1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76"/>
      <c r="R24" s="277"/>
    </row>
    <row r="25" spans="2:18" ht="14.1" customHeight="1" x14ac:dyDescent="0.25"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76"/>
      <c r="R25" s="277"/>
    </row>
    <row r="26" spans="2:18" ht="14.1" customHeight="1" x14ac:dyDescent="0.25"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76"/>
      <c r="R26" s="277"/>
    </row>
    <row r="27" spans="2:18" ht="14.1" customHeight="1" x14ac:dyDescent="0.25"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76"/>
      <c r="R27" s="277"/>
    </row>
    <row r="28" spans="2:18" ht="14.1" customHeight="1" x14ac:dyDescent="0.25"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76"/>
      <c r="R28" s="277"/>
    </row>
    <row r="29" spans="2:18" ht="14.1" customHeight="1" x14ac:dyDescent="0.25"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76"/>
      <c r="R29" s="277"/>
    </row>
    <row r="30" spans="2:18" ht="14.1" customHeight="1" x14ac:dyDescent="0.25"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76"/>
      <c r="R30" s="277"/>
    </row>
    <row r="31" spans="2:18" ht="14.1" customHeight="1" x14ac:dyDescent="0.25"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76"/>
      <c r="R31" s="277"/>
    </row>
    <row r="32" spans="2:18" ht="14.1" customHeight="1" x14ac:dyDescent="0.25"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76"/>
      <c r="R32" s="277"/>
    </row>
    <row r="33" spans="2:25" ht="14.1" customHeight="1" x14ac:dyDescent="0.25"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76"/>
      <c r="R33" s="277"/>
    </row>
    <row r="34" spans="2:25" ht="14.1" customHeight="1" x14ac:dyDescent="0.25"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76"/>
      <c r="R34" s="277"/>
    </row>
    <row r="35" spans="2:25" ht="14.1" customHeight="1" x14ac:dyDescent="0.25"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76"/>
      <c r="R35" s="277"/>
    </row>
    <row r="36" spans="2:25" ht="14.1" customHeight="1" x14ac:dyDescent="0.25"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76"/>
      <c r="R36" s="277"/>
    </row>
    <row r="39" spans="2:25" ht="14.1" customHeight="1" thickBot="1" x14ac:dyDescent="0.3"/>
    <row r="40" spans="2:25" s="177" customFormat="1" ht="24.95" customHeight="1" thickBot="1" x14ac:dyDescent="0.3">
      <c r="B40" s="260" t="s">
        <v>5</v>
      </c>
      <c r="C40" s="250" t="s">
        <v>107</v>
      </c>
      <c r="D40" s="251"/>
      <c r="E40" s="251"/>
      <c r="F40" s="251"/>
      <c r="G40" s="251"/>
      <c r="H40" s="252"/>
      <c r="I40" s="253" t="s">
        <v>111</v>
      </c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5"/>
      <c r="U40" s="263" t="s">
        <v>112</v>
      </c>
      <c r="V40" s="264"/>
      <c r="W40" s="265"/>
      <c r="X40" s="266" t="s">
        <v>108</v>
      </c>
      <c r="Y40" s="267"/>
    </row>
    <row r="41" spans="2:25" s="177" customFormat="1" ht="24.95" customHeight="1" thickBot="1" x14ac:dyDescent="0.3">
      <c r="B41" s="261"/>
      <c r="C41" s="268" t="s">
        <v>95</v>
      </c>
      <c r="D41" s="269"/>
      <c r="E41" s="256" t="s">
        <v>96</v>
      </c>
      <c r="F41" s="257"/>
      <c r="G41" s="256" t="s">
        <v>97</v>
      </c>
      <c r="H41" s="257"/>
      <c r="I41" s="268" t="s">
        <v>95</v>
      </c>
      <c r="J41" s="270"/>
      <c r="K41" s="270"/>
      <c r="L41" s="269"/>
      <c r="M41" s="256" t="s">
        <v>96</v>
      </c>
      <c r="N41" s="271"/>
      <c r="O41" s="271"/>
      <c r="P41" s="257"/>
      <c r="Q41" s="256" t="s">
        <v>97</v>
      </c>
      <c r="R41" s="271"/>
      <c r="S41" s="271"/>
      <c r="T41" s="257"/>
      <c r="U41" s="181" t="s">
        <v>95</v>
      </c>
      <c r="V41" s="182" t="s">
        <v>96</v>
      </c>
      <c r="W41" s="182" t="s">
        <v>97</v>
      </c>
      <c r="X41" s="272" t="s">
        <v>95</v>
      </c>
      <c r="Y41" s="272" t="s">
        <v>96</v>
      </c>
    </row>
    <row r="42" spans="2:25" s="177" customFormat="1" ht="24.95" customHeight="1" x14ac:dyDescent="0.25">
      <c r="B42" s="262"/>
      <c r="C42" s="274" t="s">
        <v>94</v>
      </c>
      <c r="D42" s="275"/>
      <c r="E42" s="258" t="s">
        <v>94</v>
      </c>
      <c r="F42" s="259"/>
      <c r="G42" s="258" t="s">
        <v>94</v>
      </c>
      <c r="H42" s="259"/>
      <c r="I42" s="231" t="s">
        <v>98</v>
      </c>
      <c r="J42" s="232" t="s">
        <v>24</v>
      </c>
      <c r="K42" s="231" t="s">
        <v>99</v>
      </c>
      <c r="L42" s="232" t="s">
        <v>100</v>
      </c>
      <c r="M42" s="179" t="s">
        <v>99</v>
      </c>
      <c r="N42" s="180" t="s">
        <v>24</v>
      </c>
      <c r="O42" s="179" t="s">
        <v>101</v>
      </c>
      <c r="P42" s="180" t="s">
        <v>100</v>
      </c>
      <c r="Q42" s="179" t="s">
        <v>99</v>
      </c>
      <c r="R42" s="180" t="s">
        <v>24</v>
      </c>
      <c r="S42" s="179" t="s">
        <v>101</v>
      </c>
      <c r="T42" s="180" t="s">
        <v>100</v>
      </c>
      <c r="U42" s="233" t="s">
        <v>20</v>
      </c>
      <c r="V42" s="234" t="s">
        <v>20</v>
      </c>
      <c r="W42" s="235" t="s">
        <v>21</v>
      </c>
      <c r="X42" s="273"/>
      <c r="Y42" s="273"/>
    </row>
    <row r="43" spans="2:25" ht="14.1" customHeight="1" x14ac:dyDescent="0.25"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</row>
    <row r="44" spans="2:25" ht="14.1" customHeight="1" x14ac:dyDescent="0.25"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</row>
    <row r="45" spans="2:25" ht="14.1" customHeight="1" x14ac:dyDescent="0.25"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</row>
    <row r="46" spans="2:25" ht="14.1" customHeight="1" x14ac:dyDescent="0.25"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</row>
    <row r="47" spans="2:25" ht="14.1" customHeight="1" x14ac:dyDescent="0.25"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</row>
    <row r="48" spans="2:25" ht="14.1" customHeight="1" x14ac:dyDescent="0.25"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</row>
    <row r="49" spans="2:25" ht="14.1" customHeight="1" x14ac:dyDescent="0.25"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</row>
    <row r="50" spans="2:25" ht="14.1" customHeight="1" x14ac:dyDescent="0.25"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</row>
    <row r="51" spans="2:25" ht="14.1" customHeight="1" x14ac:dyDescent="0.25"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</row>
    <row r="52" spans="2:25" ht="14.1" customHeight="1" x14ac:dyDescent="0.25"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</row>
    <row r="53" spans="2:25" ht="14.1" customHeight="1" x14ac:dyDescent="0.25"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</row>
    <row r="54" spans="2:25" ht="14.1" customHeight="1" x14ac:dyDescent="0.25"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</row>
    <row r="55" spans="2:25" ht="14.1" customHeight="1" x14ac:dyDescent="0.25"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</row>
    <row r="56" spans="2:25" ht="14.1" customHeight="1" x14ac:dyDescent="0.25"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</row>
    <row r="57" spans="2:25" ht="14.1" customHeight="1" x14ac:dyDescent="0.25"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</row>
    <row r="58" spans="2:25" ht="14.1" customHeight="1" x14ac:dyDescent="0.25"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</row>
    <row r="59" spans="2:25" ht="14.1" customHeight="1" x14ac:dyDescent="0.25"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</row>
    <row r="60" spans="2:25" ht="14.1" customHeight="1" x14ac:dyDescent="0.25"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</row>
    <row r="61" spans="2:25" ht="14.1" customHeight="1" x14ac:dyDescent="0.25"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</row>
    <row r="62" spans="2:25" ht="14.1" customHeight="1" x14ac:dyDescent="0.25"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</row>
    <row r="63" spans="2:25" ht="14.1" customHeight="1" x14ac:dyDescent="0.25"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</row>
    <row r="64" spans="2:25" ht="14.1" customHeight="1" x14ac:dyDescent="0.25"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</row>
    <row r="65" spans="2:47" ht="14.1" customHeight="1" x14ac:dyDescent="0.25"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</row>
    <row r="66" spans="2:47" ht="14.1" customHeight="1" x14ac:dyDescent="0.25"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</row>
    <row r="67" spans="2:47" ht="14.1" customHeight="1" x14ac:dyDescent="0.25"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</row>
    <row r="68" spans="2:47" ht="14.1" customHeight="1" x14ac:dyDescent="0.25"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</row>
    <row r="69" spans="2:47" ht="14.1" customHeight="1" x14ac:dyDescent="0.25"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</row>
    <row r="70" spans="2:47" ht="14.1" customHeight="1" x14ac:dyDescent="0.25"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</row>
    <row r="71" spans="2:47" ht="14.1" customHeight="1" x14ac:dyDescent="0.25"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</row>
    <row r="72" spans="2:47" ht="14.1" customHeight="1" x14ac:dyDescent="0.25"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</row>
    <row r="73" spans="2:47" ht="14.1" customHeight="1" x14ac:dyDescent="0.25"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</row>
    <row r="74" spans="2:47" ht="14.1" customHeight="1" x14ac:dyDescent="0.25"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</row>
    <row r="78" spans="2:47" ht="14.1" customHeight="1" thickBot="1" x14ac:dyDescent="0.3"/>
    <row r="79" spans="2:47" s="178" customFormat="1" ht="24.95" customHeight="1" thickBot="1" x14ac:dyDescent="0.3">
      <c r="B79" s="241" t="s">
        <v>5</v>
      </c>
      <c r="C79" s="244" t="s">
        <v>109</v>
      </c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6"/>
      <c r="P79" s="250" t="s">
        <v>110</v>
      </c>
      <c r="Q79" s="251"/>
      <c r="R79" s="251"/>
      <c r="S79" s="251"/>
      <c r="T79" s="251"/>
      <c r="U79" s="252"/>
      <c r="V79" s="253" t="s">
        <v>22</v>
      </c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5"/>
    </row>
    <row r="80" spans="2:47" s="178" customFormat="1" ht="24.95" customHeight="1" thickBot="1" x14ac:dyDescent="0.3">
      <c r="B80" s="242"/>
      <c r="C80" s="247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9"/>
      <c r="P80" s="256" t="s">
        <v>95</v>
      </c>
      <c r="Q80" s="257"/>
      <c r="R80" s="256" t="s">
        <v>96</v>
      </c>
      <c r="S80" s="257"/>
      <c r="T80" s="256" t="s">
        <v>97</v>
      </c>
      <c r="U80" s="257"/>
      <c r="V80" s="179" t="s">
        <v>23</v>
      </c>
      <c r="W80" s="180" t="s">
        <v>24</v>
      </c>
      <c r="X80" s="179" t="s">
        <v>23</v>
      </c>
      <c r="Y80" s="180" t="s">
        <v>24</v>
      </c>
      <c r="Z80" s="179" t="s">
        <v>23</v>
      </c>
      <c r="AA80" s="180" t="s">
        <v>24</v>
      </c>
      <c r="AB80" s="179" t="s">
        <v>23</v>
      </c>
      <c r="AC80" s="180" t="s">
        <v>24</v>
      </c>
      <c r="AD80" s="179" t="s">
        <v>23</v>
      </c>
      <c r="AE80" s="180" t="s">
        <v>24</v>
      </c>
      <c r="AF80" s="179" t="s">
        <v>23</v>
      </c>
      <c r="AG80" s="180" t="s">
        <v>24</v>
      </c>
      <c r="AH80" s="179" t="s">
        <v>23</v>
      </c>
      <c r="AI80" s="180" t="s">
        <v>24</v>
      </c>
      <c r="AJ80" s="179" t="s">
        <v>23</v>
      </c>
      <c r="AK80" s="180" t="s">
        <v>24</v>
      </c>
      <c r="AL80" s="179" t="s">
        <v>23</v>
      </c>
      <c r="AM80" s="180" t="s">
        <v>24</v>
      </c>
      <c r="AN80" s="179" t="s">
        <v>23</v>
      </c>
      <c r="AO80" s="180" t="s">
        <v>24</v>
      </c>
      <c r="AP80" s="179" t="s">
        <v>23</v>
      </c>
      <c r="AQ80" s="180" t="s">
        <v>24</v>
      </c>
      <c r="AR80" s="179" t="s">
        <v>23</v>
      </c>
      <c r="AS80" s="180" t="s">
        <v>24</v>
      </c>
      <c r="AT80" s="179" t="s">
        <v>23</v>
      </c>
      <c r="AU80" s="180" t="s">
        <v>24</v>
      </c>
    </row>
    <row r="81" spans="2:48" s="178" customFormat="1" ht="24.95" customHeight="1" x14ac:dyDescent="0.25">
      <c r="B81" s="243"/>
      <c r="C81" s="236" t="s">
        <v>7</v>
      </c>
      <c r="D81" s="236" t="s">
        <v>19</v>
      </c>
      <c r="E81" s="236" t="s">
        <v>8</v>
      </c>
      <c r="F81" s="236" t="s">
        <v>9</v>
      </c>
      <c r="G81" s="236" t="s">
        <v>10</v>
      </c>
      <c r="H81" s="236" t="s">
        <v>11</v>
      </c>
      <c r="I81" s="236" t="s">
        <v>12</v>
      </c>
      <c r="J81" s="236" t="s">
        <v>13</v>
      </c>
      <c r="K81" s="236" t="s">
        <v>14</v>
      </c>
      <c r="L81" s="236" t="s">
        <v>15</v>
      </c>
      <c r="M81" s="236" t="s">
        <v>16</v>
      </c>
      <c r="N81" s="236" t="s">
        <v>17</v>
      </c>
      <c r="O81" s="236" t="s">
        <v>18</v>
      </c>
      <c r="P81" s="258" t="s">
        <v>94</v>
      </c>
      <c r="Q81" s="259"/>
      <c r="R81" s="258" t="s">
        <v>94</v>
      </c>
      <c r="S81" s="259"/>
      <c r="T81" s="258" t="s">
        <v>94</v>
      </c>
      <c r="U81" s="259"/>
      <c r="V81" s="179" t="s">
        <v>7</v>
      </c>
      <c r="W81" s="237" t="s">
        <v>7</v>
      </c>
      <c r="X81" s="238" t="s">
        <v>19</v>
      </c>
      <c r="Y81" s="237" t="s">
        <v>19</v>
      </c>
      <c r="Z81" s="238" t="s">
        <v>8</v>
      </c>
      <c r="AA81" s="237" t="s">
        <v>10</v>
      </c>
      <c r="AB81" s="238" t="s">
        <v>9</v>
      </c>
      <c r="AC81" s="237" t="s">
        <v>9</v>
      </c>
      <c r="AD81" s="238" t="s">
        <v>10</v>
      </c>
      <c r="AE81" s="237" t="s">
        <v>10</v>
      </c>
      <c r="AF81" s="238" t="s">
        <v>11</v>
      </c>
      <c r="AG81" s="237" t="s">
        <v>11</v>
      </c>
      <c r="AH81" s="238" t="s">
        <v>12</v>
      </c>
      <c r="AI81" s="237" t="s">
        <v>12</v>
      </c>
      <c r="AJ81" s="238" t="s">
        <v>13</v>
      </c>
      <c r="AK81" s="237" t="s">
        <v>13</v>
      </c>
      <c r="AL81" s="238" t="s">
        <v>14</v>
      </c>
      <c r="AM81" s="237" t="s">
        <v>14</v>
      </c>
      <c r="AN81" s="238" t="s">
        <v>15</v>
      </c>
      <c r="AO81" s="237" t="s">
        <v>15</v>
      </c>
      <c r="AP81" s="238" t="s">
        <v>16</v>
      </c>
      <c r="AQ81" s="237" t="s">
        <v>16</v>
      </c>
      <c r="AR81" s="238" t="s">
        <v>17</v>
      </c>
      <c r="AS81" s="237" t="s">
        <v>17</v>
      </c>
      <c r="AT81" s="238" t="s">
        <v>18</v>
      </c>
      <c r="AU81" s="237" t="s">
        <v>18</v>
      </c>
    </row>
    <row r="82" spans="2:48" ht="14.1" customHeight="1" x14ac:dyDescent="0.25"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21"/>
    </row>
    <row r="83" spans="2:48" ht="14.1" customHeight="1" x14ac:dyDescent="0.25"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21"/>
    </row>
    <row r="84" spans="2:48" ht="14.1" customHeight="1" x14ac:dyDescent="0.25"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21"/>
    </row>
    <row r="85" spans="2:48" ht="14.1" customHeight="1" x14ac:dyDescent="0.25"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21"/>
    </row>
    <row r="86" spans="2:48" ht="14.1" customHeight="1" x14ac:dyDescent="0.25"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21"/>
    </row>
    <row r="87" spans="2:48" ht="14.1" customHeight="1" x14ac:dyDescent="0.25"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21"/>
    </row>
    <row r="88" spans="2:48" ht="14.1" customHeight="1" x14ac:dyDescent="0.25"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21"/>
    </row>
    <row r="89" spans="2:48" ht="14.1" customHeight="1" x14ac:dyDescent="0.25"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21"/>
    </row>
    <row r="90" spans="2:48" ht="14.1" customHeight="1" x14ac:dyDescent="0.25"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21"/>
    </row>
    <row r="91" spans="2:48" ht="14.1" customHeight="1" x14ac:dyDescent="0.25"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21"/>
    </row>
    <row r="92" spans="2:48" ht="14.1" customHeight="1" x14ac:dyDescent="0.25"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21"/>
    </row>
    <row r="93" spans="2:48" ht="14.1" customHeight="1" x14ac:dyDescent="0.25"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21"/>
    </row>
    <row r="94" spans="2:48" ht="14.1" customHeight="1" x14ac:dyDescent="0.25"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21"/>
    </row>
    <row r="95" spans="2:48" ht="14.1" customHeight="1" x14ac:dyDescent="0.25"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21"/>
    </row>
    <row r="96" spans="2:48" ht="14.1" customHeight="1" x14ac:dyDescent="0.25"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21"/>
    </row>
    <row r="97" spans="2:48" ht="14.1" customHeight="1" x14ac:dyDescent="0.25"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21"/>
    </row>
    <row r="98" spans="2:48" ht="14.1" customHeight="1" x14ac:dyDescent="0.25"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21"/>
    </row>
    <row r="99" spans="2:48" ht="14.1" customHeight="1" x14ac:dyDescent="0.25"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21"/>
    </row>
    <row r="100" spans="2:48" ht="14.1" customHeight="1" x14ac:dyDescent="0.25"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21"/>
    </row>
    <row r="101" spans="2:48" ht="14.1" customHeight="1" x14ac:dyDescent="0.25"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21"/>
    </row>
    <row r="102" spans="2:48" ht="14.1" customHeight="1" x14ac:dyDescent="0.25"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21"/>
    </row>
    <row r="103" spans="2:48" ht="14.1" customHeight="1" x14ac:dyDescent="0.25"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21"/>
    </row>
    <row r="104" spans="2:48" ht="14.1" customHeight="1" x14ac:dyDescent="0.25"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21"/>
    </row>
    <row r="105" spans="2:48" ht="14.1" customHeight="1" x14ac:dyDescent="0.25"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21"/>
    </row>
    <row r="106" spans="2:48" ht="14.1" customHeight="1" x14ac:dyDescent="0.25"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21"/>
    </row>
    <row r="107" spans="2:48" ht="14.1" customHeight="1" x14ac:dyDescent="0.25"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21"/>
    </row>
    <row r="108" spans="2:48" ht="14.1" customHeight="1" x14ac:dyDescent="0.25"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21"/>
    </row>
    <row r="109" spans="2:48" ht="14.1" customHeight="1" x14ac:dyDescent="0.25">
      <c r="B109" s="230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21"/>
    </row>
    <row r="110" spans="2:48" ht="14.1" customHeight="1" x14ac:dyDescent="0.25"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21"/>
    </row>
    <row r="111" spans="2:48" ht="14.1" customHeight="1" x14ac:dyDescent="0.25"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21"/>
    </row>
    <row r="112" spans="2:48" ht="14.1" customHeight="1" x14ac:dyDescent="0.25">
      <c r="B112" s="230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21"/>
    </row>
    <row r="113" spans="2:48" ht="14.1" customHeight="1" x14ac:dyDescent="0.25">
      <c r="B113" s="230"/>
      <c r="C113" s="230"/>
      <c r="D113" s="230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21"/>
    </row>
  </sheetData>
  <mergeCells count="68">
    <mergeCell ref="Q36:R36"/>
    <mergeCell ref="Q3:R5"/>
    <mergeCell ref="H1:I1"/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T80:U80"/>
    <mergeCell ref="P81:Q81"/>
    <mergeCell ref="R81:S81"/>
    <mergeCell ref="T81:U81"/>
    <mergeCell ref="X41:X42"/>
    <mergeCell ref="P80:Q80"/>
    <mergeCell ref="R80:S80"/>
    <mergeCell ref="U40:W40"/>
    <mergeCell ref="V79:AU79"/>
    <mergeCell ref="X40:Y40"/>
    <mergeCell ref="Y41:Y42"/>
    <mergeCell ref="P79:U79"/>
    <mergeCell ref="I40:T40"/>
    <mergeCell ref="I41:L41"/>
    <mergeCell ref="M41:P41"/>
    <mergeCell ref="Q41:T41"/>
    <mergeCell ref="B79:B81"/>
    <mergeCell ref="G3:N3"/>
    <mergeCell ref="G4:H4"/>
    <mergeCell ref="I4:J4"/>
    <mergeCell ref="K4:L4"/>
    <mergeCell ref="M4:N4"/>
    <mergeCell ref="C79:O80"/>
    <mergeCell ref="C42:D42"/>
    <mergeCell ref="E42:F42"/>
    <mergeCell ref="G42:H42"/>
    <mergeCell ref="C41:D41"/>
    <mergeCell ref="E41:F41"/>
    <mergeCell ref="G41:H41"/>
    <mergeCell ref="C1:D1"/>
    <mergeCell ref="B3:B5"/>
    <mergeCell ref="B40:B42"/>
    <mergeCell ref="C40:H40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O3:P4"/>
    <mergeCell ref="C3:F4"/>
  </mergeCells>
  <conditionalFormatting sqref="B82:AU113">
    <cfRule type="cellIs" dxfId="453" priority="6" operator="equal">
      <formula>""</formula>
    </cfRule>
  </conditionalFormatting>
  <conditionalFormatting sqref="B6:P36">
    <cfRule type="cellIs" dxfId="452" priority="5" operator="equal">
      <formula>""</formula>
    </cfRule>
  </conditionalFormatting>
  <conditionalFormatting sqref="U43:Y74">
    <cfRule type="cellIs" dxfId="451" priority="4" operator="equal">
      <formula>""</formula>
    </cfRule>
  </conditionalFormatting>
  <conditionalFormatting sqref="C43:T74">
    <cfRule type="cellIs" dxfId="450" priority="3" operator="equal">
      <formula>""</formula>
    </cfRule>
  </conditionalFormatting>
  <conditionalFormatting sqref="B43:B74">
    <cfRule type="cellIs" dxfId="449" priority="2" operator="equal">
      <formula>""</formula>
    </cfRule>
  </conditionalFormatting>
  <conditionalFormatting sqref="Q6:Q36">
    <cfRule type="cellIs" dxfId="448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F88A-C62D-44C9-BFBA-E1B215EF489E}">
  <dimension ref="B1:AC41"/>
  <sheetViews>
    <sheetView topLeftCell="A4" zoomScaleNormal="100" workbookViewId="0">
      <selection activeCell="O14" sqref="O14"/>
    </sheetView>
  </sheetViews>
  <sheetFormatPr baseColWidth="10" defaultColWidth="11.42578125" defaultRowHeight="12.75" x14ac:dyDescent="0.2"/>
  <cols>
    <col min="1" max="1" customWidth="true" style="1" width="5.42578125" collapsed="true"/>
    <col min="2" max="2" customWidth="true" style="1" width="8.28515625" collapsed="true"/>
    <col min="3" max="22" customWidth="true" style="1" width="7.7109375" collapsed="true"/>
    <col min="23" max="24" customWidth="true" style="1" width="8.7109375" collapsed="true"/>
    <col min="25" max="29" customWidth="true" style="1" width="12.7109375" collapsed="true"/>
    <col min="30" max="16384" style="1" width="11.42578125" collapsed="true"/>
  </cols>
  <sheetData>
    <row r="1" spans="2:29" s="5" customFormat="1" ht="15" customHeight="1" thickBot="1" x14ac:dyDescent="0.3"/>
    <row r="2" spans="2:29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I2" s="290" t="s">
        <v>38</v>
      </c>
      <c r="J2" s="291"/>
      <c r="K2" s="291"/>
      <c r="L2" s="291"/>
      <c r="M2" s="291"/>
      <c r="N2" s="291"/>
      <c r="O2" s="291"/>
      <c r="P2" s="291"/>
      <c r="Q2" s="291"/>
      <c r="R2" s="291"/>
      <c r="S2" s="292"/>
    </row>
    <row r="3" spans="2:29" s="31" customFormat="1" ht="15" customHeight="1" x14ac:dyDescent="0.25">
      <c r="B3" s="33"/>
      <c r="C3" s="33"/>
      <c r="D3" s="33"/>
      <c r="E3" s="33"/>
      <c r="F3" s="32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2:29" s="5" customFormat="1" ht="15" customHeight="1" thickBot="1" x14ac:dyDescent="0.3">
      <c r="R4" s="7"/>
      <c r="S4" s="7"/>
      <c r="T4" s="7"/>
      <c r="U4" s="7"/>
      <c r="V4" s="7"/>
    </row>
    <row r="5" spans="2:29" s="30" customFormat="1" ht="30.6" customHeight="1" thickBot="1" x14ac:dyDescent="0.3">
      <c r="B5" s="304" t="s">
        <v>5</v>
      </c>
      <c r="C5" s="306" t="s">
        <v>37</v>
      </c>
      <c r="D5" s="307"/>
      <c r="E5" s="307"/>
      <c r="F5" s="307"/>
      <c r="G5" s="308"/>
      <c r="H5" s="306" t="s">
        <v>36</v>
      </c>
      <c r="I5" s="307"/>
      <c r="J5" s="307"/>
      <c r="K5" s="307"/>
      <c r="L5" s="308"/>
      <c r="M5" s="306" t="s">
        <v>35</v>
      </c>
      <c r="N5" s="307"/>
      <c r="O5" s="307"/>
      <c r="P5" s="307"/>
      <c r="Q5" s="308"/>
      <c r="R5" s="306" t="s">
        <v>34</v>
      </c>
      <c r="S5" s="307"/>
      <c r="T5" s="307"/>
      <c r="U5" s="307"/>
      <c r="V5" s="307"/>
      <c r="W5" s="293" t="s">
        <v>33</v>
      </c>
      <c r="X5" s="293" t="s">
        <v>27</v>
      </c>
      <c r="Y5" s="295" t="s">
        <v>32</v>
      </c>
      <c r="Z5" s="302" t="s">
        <v>31</v>
      </c>
      <c r="AB5" s="300" t="s">
        <v>26</v>
      </c>
      <c r="AC5" s="300" t="s">
        <v>25</v>
      </c>
    </row>
    <row r="6" spans="2:29" s="30" customFormat="1" ht="33.75" customHeight="1" thickBot="1" x14ac:dyDescent="0.3">
      <c r="B6" s="305"/>
      <c r="C6" s="8" t="s">
        <v>30</v>
      </c>
      <c r="D6" s="9" t="s">
        <v>121</v>
      </c>
      <c r="E6" s="9" t="s">
        <v>122</v>
      </c>
      <c r="F6" s="10" t="s">
        <v>33</v>
      </c>
      <c r="G6" s="10" t="s">
        <v>27</v>
      </c>
      <c r="H6" s="8" t="s">
        <v>30</v>
      </c>
      <c r="I6" s="9" t="s">
        <v>121</v>
      </c>
      <c r="J6" s="9" t="s">
        <v>122</v>
      </c>
      <c r="K6" s="10" t="s">
        <v>33</v>
      </c>
      <c r="L6" s="10" t="s">
        <v>27</v>
      </c>
      <c r="M6" s="8" t="s">
        <v>30</v>
      </c>
      <c r="N6" s="9" t="s">
        <v>123</v>
      </c>
      <c r="O6" s="9" t="s">
        <v>114</v>
      </c>
      <c r="P6" s="10" t="s">
        <v>33</v>
      </c>
      <c r="Q6" s="10" t="s">
        <v>27</v>
      </c>
      <c r="R6" s="8" t="s">
        <v>30</v>
      </c>
      <c r="S6" s="9" t="s">
        <v>123</v>
      </c>
      <c r="T6" s="9" t="s">
        <v>124</v>
      </c>
      <c r="U6" s="10" t="s">
        <v>33</v>
      </c>
      <c r="V6" s="36" t="s">
        <v>27</v>
      </c>
      <c r="W6" s="294"/>
      <c r="X6" s="294"/>
      <c r="Y6" s="296"/>
      <c r="Z6" s="303"/>
      <c r="AB6" s="301"/>
      <c r="AC6" s="301"/>
    </row>
    <row r="7" spans="2:29" s="5" customFormat="1" ht="14.1" customHeight="1" thickBot="1" x14ac:dyDescent="0.3">
      <c r="B7" s="11">
        <v>1</v>
      </c>
      <c r="C7" s="12" t="str">
        <f>IF(ISBLANK(Data!C6),"",Data!C6)</f>
        <v/>
      </c>
      <c r="D7" s="13"/>
      <c r="E7" s="19" t="str">
        <f>IF(ISBLANK(Data!F43),"",IF(Data!F43=Data!E43,Data!F43,IF(MIN(ABS(Data!F43-Data!C6),ABS(Data!E43-Data!C6))=ABS(Data!F43-Data!C6),Data!F43,IF(MIN(ABS(Data!F43-Data!C6),ABS(Data!E43-Data!C6))=ABS(Data!E43-Data!C6),Data!E43,""))))</f>
        <v/>
      </c>
      <c r="F7" s="14">
        <f>IF(OR(C7="",D7=""),1,IF(ABS(D7-C7)&gt;=3,0,IF(ABS(D7-C7)=2,0.5,IF(ABS(D7-C7)=1,0.75,1))))</f>
        <v>1</v>
      </c>
      <c r="G7" s="14">
        <f>IF(OR(C7="",E7=""),1,IF(ABS(E7-C7)&gt;=3,0,IF(ABS(E7-C7)=2,0.5,IF(ABS(E7-C7)=1,0.75,1))))</f>
        <v>1</v>
      </c>
      <c r="H7" s="12" t="str">
        <f>IF(ISBLANK(Data!D6),"",Data!D6)</f>
        <v/>
      </c>
      <c r="I7" s="13"/>
      <c r="J7" s="19" t="str">
        <f>IF(ISBLANK(Data!F43),"",IF(Data!F43=Data!G43,Data!F43,IF(MIN(ABS(Data!F43-Data!E6),ABS(Data!G43-Data!E6))=ABS(Data!F43-Data!E6),Data!F43,IF(MIN(ABS(Data!F43-Data!E6),ABS(Data!G43-Data!E6))=ABS(Data!G43-Data!E6),Data!G43,""))))</f>
        <v/>
      </c>
      <c r="K7" s="14">
        <f>IF(OR(H7="",I7=""),1,IF(ABS(I7-H7)&gt;=3,0,IF(ABS(I7-H7)=2,0.5,IF(ABS(I7-H7)=1,0.75,1))))</f>
        <v>1</v>
      </c>
      <c r="L7" s="14">
        <f>IF(OR(H7="",J7=""),1,IF(ABS(J7-H7)&gt;=3,0,IF(ABS(J7-H7)=2,0.5,IF(ABS(J7-H7)=1,0.75,1))))</f>
        <v>1</v>
      </c>
      <c r="M7" s="12" t="str">
        <f>IF(ISBLANK(Data!E6),"",Data!E6)</f>
        <v/>
      </c>
      <c r="N7" s="13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  <c r="O7" s="19" t="str">
        <f>IF(ISBLANK(Data!G43),"",IF(Data!G43=Data!F43,Data!G43,IF(MIN(ABS(Data!G43-Data!E6),ABS(Data!F43-Data!E6))=ABS(Data!G43-Data!E6),Data!G43,IF(MIN(ABS(Data!G43-Data!E6),ABS(Data!F43-Data!E6))=ABS(Data!F43-Data!E6),Data!F43,""))))</f>
        <v/>
      </c>
      <c r="P7" s="14">
        <f>IF(OR(M7="",N7=""),1,IF(ABS(N7-M7)&gt;=3,0,IF(ABS(N7-M7)=2,0.5,IF(ABS(N7-M7)=1,0.75,1))))</f>
        <v>1</v>
      </c>
      <c r="Q7" s="14">
        <f>IF(OR(M7="",O7=""),1,IF(ABS(O7-M7)&gt;=3,0,IF(ABS(O7-M7)=2,0.5,IF(ABS(O7-M7)=1,0.75,1))))</f>
        <v>1</v>
      </c>
      <c r="R7" s="12" t="str">
        <f>IF(ISBLANK(Data!F6),"",Data!F6)</f>
        <v/>
      </c>
      <c r="S7" s="13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  <c r="T7" s="13" t="str">
        <f>IF(ISBLANK(Data!G43),"",IF(Data!G43=Data!G43,Data!G43,IF(MIN(ABS(Data!G43-Data!F6),ABS(Data!G43-Data!F6))=ABS(Data!G43-Data!F6),Data!G43,IF(MIN(ABS(Data!G43-Data!F6),ABS(Data!G43-Data!F6))=ABS(Data!G43-Data!F6),Data!G43,""))))</f>
        <v/>
      </c>
      <c r="U7" s="14">
        <f>IF(OR(R7="",S7=""),1,IF(ABS(S7-R7)&gt;=3,0,IF(ABS(S7-R7)=2,0.5,IF(ABS(S7-R7)=1,0.75,1))))</f>
        <v>1</v>
      </c>
      <c r="V7" s="14">
        <f>IF(OR(R7="",T7=""),1,IF(ABS(T7-R7)&gt;=3,0,IF(ABS(T7-R7)=2,0.5,IF(ABS(T7-R7)=1,0.75,1))))</f>
        <v>1</v>
      </c>
      <c r="W7" s="15">
        <f t="shared" ref="W7:W37" si="0">AVERAGE(F7,K7,P7,U7)</f>
        <v>1</v>
      </c>
      <c r="X7" s="15">
        <f t="shared" ref="X7:X37" si="1">AVERAGE(G7,L7,Q7,V7)</f>
        <v>1</v>
      </c>
      <c r="Y7" s="28">
        <f t="shared" ref="Y7:Y37" si="2">+IF(W7&gt;=0.8,1,IF(W7&gt;=0.65,0.75,IF(W7&gt;=0.5,0.5,IF(W7&gt;=0.35,0.25,0))))</f>
        <v>1</v>
      </c>
      <c r="Z7" s="29">
        <f t="shared" ref="Z7:Z37" si="3">+IF(X7&gt;=0.8,1,IF(X7&gt;=0.65,0.75,IF(X7&gt;=0.5,0.5,IF(X7&gt;=0.35,0.25,0))))</f>
        <v>1</v>
      </c>
      <c r="AB7" s="27">
        <f>AVERAGE(Y7:Y37)</f>
        <v>1</v>
      </c>
      <c r="AC7" s="27">
        <f>AVERAGE(Z7:Z37)</f>
        <v>1</v>
      </c>
    </row>
    <row r="8" spans="2:29" s="5" customFormat="1" ht="14.1" customHeight="1" x14ac:dyDescent="0.25">
      <c r="B8" s="17">
        <f t="shared" ref="B8:B37" si="4">B7+1</f>
        <v>2</v>
      </c>
      <c r="C8" s="18" t="str">
        <f>IF(ISBLANK(Data!C7),"",Data!C7)</f>
        <v/>
      </c>
      <c r="D8" s="19"/>
      <c r="E8" s="19" t="str">
        <f>IF(ISBLANK(Data!F44),"",IF(Data!F44=Data!E44,Data!F44,IF(MIN(ABS(Data!F44-Data!C7),ABS(Data!E44-Data!C7))=ABS(Data!F44-Data!C7),Data!F44,IF(MIN(ABS(Data!F44-Data!C7),ABS(Data!E44-Data!C7))=ABS(Data!E44-Data!C7),Data!E44,""))))</f>
        <v/>
      </c>
      <c r="F8" s="20">
        <f t="shared" ref="F8:F37" si="5">IF(OR(C8="",D8=""),1,IF(ABS(D8-C8)&gt;=3,0,IF(ABS(D8-C8)=2,0.5,IF(ABS(D8-C8)=1,0.75,1))))</f>
        <v>1</v>
      </c>
      <c r="G8" s="20">
        <f t="shared" ref="G8:G37" si="6">IF(OR(C8="",E8=""),1,IF(ABS(E8-C8)&gt;=3,0,IF(ABS(E8-C8)=2,0.5,IF(ABS(E8-C8)=1,0.75,1))))</f>
        <v>1</v>
      </c>
      <c r="H8" s="18" t="str">
        <f>IF(ISBLANK(Data!D7),"",Data!D7)</f>
        <v/>
      </c>
      <c r="I8" s="19"/>
      <c r="J8" s="19" t="str">
        <f>IF(ISBLANK(Data!F44),"",IF(Data!F44=Data!G44,Data!F44,IF(MIN(ABS(Data!F44-Data!E7),ABS(Data!G44-Data!E7))=ABS(Data!F44-Data!E7),Data!F44,IF(MIN(ABS(Data!F44-Data!E7),ABS(Data!G44-Data!E7))=ABS(Data!G44-Data!E7),Data!G44,""))))</f>
        <v/>
      </c>
      <c r="K8" s="20">
        <f t="shared" ref="K8:K37" si="7">IF(OR(H8="",I8=""),1,IF(ABS(I8-H8)&gt;=3,0,IF(ABS(I8-H8)=2,0.5,IF(ABS(I8-H8)=1,0.75,1))))</f>
        <v>1</v>
      </c>
      <c r="L8" s="20">
        <f t="shared" ref="L8:L37" si="8">IF(OR(H8="",J8=""),1,IF(ABS(J8-H8)&gt;=3,0,IF(ABS(J8-H8)=2,0.5,IF(ABS(J8-H8)=1,0.75,1))))</f>
        <v>1</v>
      </c>
      <c r="M8" s="18" t="str">
        <f>IF(ISBLANK(Data!E7),"",Data!E7)</f>
        <v/>
      </c>
      <c r="N8" s="19" t="str">
        <f>IF(ISBLANK(Data!C45),"",IF(Data!C45=Data!D45,Data!C45,IF(MIN(ABS(Data!C45-Data!E7),ABS(Data!D45-Data!E7))=ABS(Data!C45-Data!E7),Data!C45,IF(MIN(ABS(Data!C45-Data!E7),ABS(Data!D45-Data!E7))=ABS(Data!D45-Data!E7),Data!D45,""))))</f>
        <v/>
      </c>
      <c r="O8" s="19" t="str">
        <f>IF(ISBLANK(Data!G44),"",IF(Data!G44=Data!F44,Data!G44,IF(MIN(ABS(Data!G44-Data!E7),ABS(Data!F44-Data!E7))=ABS(Data!G44-Data!E7),Data!G44,IF(MIN(ABS(Data!G44-Data!E7),ABS(Data!F44-Data!E7))=ABS(Data!F44-Data!E7),Data!F44,""))))</f>
        <v/>
      </c>
      <c r="P8" s="20">
        <f t="shared" ref="P8:P37" si="9">IF(OR(M8="",N8=""),1,IF(ABS(N8-M8)&gt;=3,0,IF(ABS(N8-M8)=2,0.5,IF(ABS(N8-M8)=1,0.75,1))))</f>
        <v>1</v>
      </c>
      <c r="Q8" s="20">
        <f t="shared" ref="Q8:Q37" si="10">IF(OR(M8="",O8=""),1,IF(ABS(O8-M8)&gt;=3,0,IF(ABS(O8-M8)=2,0.5,IF(ABS(O8-M8)=1,0.75,1))))</f>
        <v>1</v>
      </c>
      <c r="R8" s="18" t="str">
        <f>IF(ISBLANK(Data!F7),"",Data!F7)</f>
        <v/>
      </c>
      <c r="S8" s="19" t="str">
        <f>IF(ISBLANK(Data!C45),"",IF(Data!C45=Data!D45,Data!C45,IF(MIN(ABS(Data!C45-Data!E7),ABS(Data!D45-Data!E7))=ABS(Data!C45-Data!E7),Data!C45,IF(MIN(ABS(Data!C45-Data!E7),ABS(Data!D45-Data!E7))=ABS(Data!D45-Data!E7),Data!D45,""))))</f>
        <v/>
      </c>
      <c r="T8" s="19" t="str">
        <f>IF(ISBLANK(Data!G44),"",IF(Data!G44=Data!G44,Data!G44,IF(MIN(ABS(Data!G44-Data!F7),ABS(Data!G44-Data!F7))=ABS(Data!G44-Data!F7),Data!G44,IF(MIN(ABS(Data!G44-Data!F7),ABS(Data!G44-Data!F7))=ABS(Data!G44-Data!F7),Data!G44,""))))</f>
        <v/>
      </c>
      <c r="U8" s="20">
        <f t="shared" ref="U8:U37" si="11">IF(OR(R8="",S8=""),1,IF(ABS(S8-R8)&gt;=3,0,IF(ABS(S8-R8)=2,0.5,IF(ABS(S8-R8)=1,0.75,1))))</f>
        <v>1</v>
      </c>
      <c r="V8" s="20">
        <f t="shared" ref="V8:V37" si="12">IF(OR(R8="",T8=""),1,IF(ABS(T8-R8)&gt;=3,0,IF(ABS(T8-R8)=2,0.5,IF(ABS(T8-R8)=1,0.75,1))))</f>
        <v>1</v>
      </c>
      <c r="W8" s="21">
        <f t="shared" si="0"/>
        <v>1</v>
      </c>
      <c r="X8" s="21">
        <f t="shared" si="1"/>
        <v>1</v>
      </c>
      <c r="Y8" s="28">
        <f t="shared" si="2"/>
        <v>1</v>
      </c>
      <c r="Z8" s="29">
        <f t="shared" si="3"/>
        <v>1</v>
      </c>
    </row>
    <row r="9" spans="2:29" s="5" customFormat="1" ht="14.1" customHeight="1" x14ac:dyDescent="0.25">
      <c r="B9" s="17">
        <f t="shared" si="4"/>
        <v>3</v>
      </c>
      <c r="C9" s="18" t="str">
        <f>IF(ISBLANK(Data!C8),"",Data!C8)</f>
        <v/>
      </c>
      <c r="D9" s="19"/>
      <c r="E9" s="19" t="str">
        <f>IF(ISBLANK(Data!F45),"",IF(Data!F45=Data!E45,Data!F45,IF(MIN(ABS(Data!F45-Data!C8),ABS(Data!E45-Data!C8))=ABS(Data!F45-Data!C8),Data!F45,IF(MIN(ABS(Data!F45-Data!C8),ABS(Data!E45-Data!C8))=ABS(Data!E45-Data!C8),Data!E45,""))))</f>
        <v/>
      </c>
      <c r="F9" s="20">
        <f t="shared" si="5"/>
        <v>1</v>
      </c>
      <c r="G9" s="20">
        <f t="shared" si="6"/>
        <v>1</v>
      </c>
      <c r="H9" s="18" t="str">
        <f>IF(ISBLANK(Data!D8),"",Data!D8)</f>
        <v/>
      </c>
      <c r="I9" s="19"/>
      <c r="J9" s="19" t="str">
        <f>IF(ISBLANK(Data!F45),"",IF(Data!F45=Data!G45,Data!F45,IF(MIN(ABS(Data!F45-Data!E8),ABS(Data!G45-Data!E8))=ABS(Data!F45-Data!E8),Data!F45,IF(MIN(ABS(Data!F45-Data!E8),ABS(Data!G45-Data!E8))=ABS(Data!G45-Data!E8),Data!G45,""))))</f>
        <v/>
      </c>
      <c r="K9" s="20">
        <f t="shared" si="7"/>
        <v>1</v>
      </c>
      <c r="L9" s="20">
        <f t="shared" si="8"/>
        <v>1</v>
      </c>
      <c r="M9" s="18" t="str">
        <f>IF(ISBLANK(Data!E8),"",Data!E8)</f>
        <v/>
      </c>
      <c r="N9" s="19" t="str">
        <f>IF(ISBLANK(Data!C46),"",IF(Data!C46=Data!D46,Data!C46,IF(MIN(ABS(Data!C46-Data!E8),ABS(Data!D46-Data!E8))=ABS(Data!C46-Data!E8),Data!C46,IF(MIN(ABS(Data!C46-Data!E8),ABS(Data!D46-Data!E8))=ABS(Data!D46-Data!E8),Data!D46,""))))</f>
        <v/>
      </c>
      <c r="O9" s="19" t="str">
        <f>IF(ISBLANK(Data!G45),"",IF(Data!G45=Data!F45,Data!G45,IF(MIN(ABS(Data!G45-Data!E8),ABS(Data!F45-Data!E8))=ABS(Data!G45-Data!E8),Data!G45,IF(MIN(ABS(Data!G45-Data!E8),ABS(Data!F45-Data!E8))=ABS(Data!F45-Data!E8),Data!F45,""))))</f>
        <v/>
      </c>
      <c r="P9" s="20">
        <f t="shared" si="9"/>
        <v>1</v>
      </c>
      <c r="Q9" s="20">
        <f t="shared" si="10"/>
        <v>1</v>
      </c>
      <c r="R9" s="18" t="str">
        <f>IF(ISBLANK(Data!F8),"",Data!F8)</f>
        <v/>
      </c>
      <c r="S9" s="19" t="str">
        <f>IF(ISBLANK(Data!C46),"",IF(Data!C46=Data!D46,Data!C46,IF(MIN(ABS(Data!C46-Data!E8),ABS(Data!D46-Data!E8))=ABS(Data!C46-Data!E8),Data!C46,IF(MIN(ABS(Data!C46-Data!E8),ABS(Data!D46-Data!E8))=ABS(Data!D46-Data!E8),Data!D46,""))))</f>
        <v/>
      </c>
      <c r="T9" s="19" t="str">
        <f>IF(ISBLANK(Data!G45),"",IF(Data!G45=Data!G45,Data!G45,IF(MIN(ABS(Data!G45-Data!F8),ABS(Data!G45-Data!F8))=ABS(Data!G45-Data!F8),Data!G45,IF(MIN(ABS(Data!G45-Data!F8),ABS(Data!G45-Data!F8))=ABS(Data!G45-Data!F8),Data!G45,""))))</f>
        <v/>
      </c>
      <c r="U9" s="20">
        <f t="shared" si="11"/>
        <v>1</v>
      </c>
      <c r="V9" s="20">
        <f t="shared" si="12"/>
        <v>1</v>
      </c>
      <c r="W9" s="21">
        <f t="shared" si="0"/>
        <v>1</v>
      </c>
      <c r="X9" s="21">
        <f t="shared" si="1"/>
        <v>1</v>
      </c>
      <c r="Y9" s="28">
        <f t="shared" si="2"/>
        <v>1</v>
      </c>
      <c r="Z9" s="29">
        <f t="shared" si="3"/>
        <v>1</v>
      </c>
    </row>
    <row r="10" spans="2:29" s="5" customFormat="1" ht="14.1" customHeight="1" x14ac:dyDescent="0.25">
      <c r="B10" s="17">
        <f t="shared" si="4"/>
        <v>4</v>
      </c>
      <c r="C10" s="18" t="str">
        <f>IF(ISBLANK(Data!C9),"",Data!C9)</f>
        <v/>
      </c>
      <c r="D10" s="19"/>
      <c r="E10" s="19" t="str">
        <f>IF(ISBLANK(Data!F46),"",IF(Data!F46=Data!E46,Data!F46,IF(MIN(ABS(Data!F46-Data!C9),ABS(Data!E46-Data!C9))=ABS(Data!F46-Data!C9),Data!F46,IF(MIN(ABS(Data!F46-Data!C9),ABS(Data!E46-Data!C9))=ABS(Data!E46-Data!C9),Data!E46,""))))</f>
        <v/>
      </c>
      <c r="F10" s="20">
        <f t="shared" si="5"/>
        <v>1</v>
      </c>
      <c r="G10" s="20">
        <f t="shared" si="6"/>
        <v>1</v>
      </c>
      <c r="H10" s="18" t="str">
        <f>IF(ISBLANK(Data!D9),"",Data!D9)</f>
        <v/>
      </c>
      <c r="I10" s="19"/>
      <c r="J10" s="19" t="str">
        <f>IF(ISBLANK(Data!F46),"",IF(Data!F46=Data!G46,Data!F46,IF(MIN(ABS(Data!F46-Data!E9),ABS(Data!G46-Data!E9))=ABS(Data!F46-Data!E9),Data!F46,IF(MIN(ABS(Data!F46-Data!E9),ABS(Data!G46-Data!E9))=ABS(Data!G46-Data!E9),Data!G46,""))))</f>
        <v/>
      </c>
      <c r="K10" s="20">
        <f t="shared" si="7"/>
        <v>1</v>
      </c>
      <c r="L10" s="20">
        <f t="shared" si="8"/>
        <v>1</v>
      </c>
      <c r="M10" s="18" t="str">
        <f>IF(ISBLANK(Data!E9),"",Data!E9)</f>
        <v/>
      </c>
      <c r="N10" s="19" t="str">
        <f>IF(ISBLANK(Data!C47),"",IF(Data!C47=Data!D47,Data!C47,IF(MIN(ABS(Data!C47-Data!E9),ABS(Data!D47-Data!E9))=ABS(Data!C47-Data!E9),Data!C47,IF(MIN(ABS(Data!C47-Data!E9),ABS(Data!D47-Data!E9))=ABS(Data!D47-Data!E9),Data!D47,""))))</f>
        <v/>
      </c>
      <c r="O10" s="19" t="str">
        <f>IF(ISBLANK(Data!G46),"",IF(Data!G46=Data!F46,Data!G46,IF(MIN(ABS(Data!G46-Data!E9),ABS(Data!F46-Data!E9))=ABS(Data!G46-Data!E9),Data!G46,IF(MIN(ABS(Data!G46-Data!E9),ABS(Data!F46-Data!E9))=ABS(Data!F46-Data!E9),Data!F46,""))))</f>
        <v/>
      </c>
      <c r="P10" s="20">
        <f t="shared" si="9"/>
        <v>1</v>
      </c>
      <c r="Q10" s="20">
        <f t="shared" si="10"/>
        <v>1</v>
      </c>
      <c r="R10" s="18" t="str">
        <f>IF(ISBLANK(Data!F9),"",Data!F9)</f>
        <v/>
      </c>
      <c r="S10" s="19" t="str">
        <f>IF(ISBLANK(Data!C47),"",IF(Data!C47=Data!D47,Data!C47,IF(MIN(ABS(Data!C47-Data!E9),ABS(Data!D47-Data!E9))=ABS(Data!C47-Data!E9),Data!C47,IF(MIN(ABS(Data!C47-Data!E9),ABS(Data!D47-Data!E9))=ABS(Data!D47-Data!E9),Data!D47,""))))</f>
        <v/>
      </c>
      <c r="T10" s="19" t="str">
        <f>IF(ISBLANK(Data!G46),"",IF(Data!G46=Data!G46,Data!G46,IF(MIN(ABS(Data!G46-Data!F9),ABS(Data!G46-Data!F9))=ABS(Data!G46-Data!F9),Data!G46,IF(MIN(ABS(Data!G46-Data!F9),ABS(Data!G46-Data!F9))=ABS(Data!G46-Data!F9),Data!G46,""))))</f>
        <v/>
      </c>
      <c r="U10" s="20">
        <f t="shared" si="11"/>
        <v>1</v>
      </c>
      <c r="V10" s="20">
        <f t="shared" si="12"/>
        <v>1</v>
      </c>
      <c r="W10" s="21">
        <f t="shared" si="0"/>
        <v>1</v>
      </c>
      <c r="X10" s="21">
        <f t="shared" si="1"/>
        <v>1</v>
      </c>
      <c r="Y10" s="28">
        <f t="shared" si="2"/>
        <v>1</v>
      </c>
      <c r="Z10" s="29">
        <f t="shared" si="3"/>
        <v>1</v>
      </c>
    </row>
    <row r="11" spans="2:29" s="5" customFormat="1" ht="14.1" customHeight="1" x14ac:dyDescent="0.25">
      <c r="B11" s="17">
        <f t="shared" si="4"/>
        <v>5</v>
      </c>
      <c r="C11" s="18" t="str">
        <f>IF(ISBLANK(Data!C10),"",Data!C10)</f>
        <v/>
      </c>
      <c r="D11" s="19"/>
      <c r="E11" s="19" t="str">
        <f>IF(ISBLANK(Data!F47),"",IF(Data!F47=Data!E47,Data!F47,IF(MIN(ABS(Data!F47-Data!C10),ABS(Data!E47-Data!C10))=ABS(Data!F47-Data!C10),Data!F47,IF(MIN(ABS(Data!F47-Data!C10),ABS(Data!E47-Data!C10))=ABS(Data!E47-Data!C10),Data!E47,""))))</f>
        <v/>
      </c>
      <c r="F11" s="20">
        <f t="shared" si="5"/>
        <v>1</v>
      </c>
      <c r="G11" s="20">
        <f t="shared" si="6"/>
        <v>1</v>
      </c>
      <c r="H11" s="18" t="str">
        <f>IF(ISBLANK(Data!D10),"",Data!D10)</f>
        <v/>
      </c>
      <c r="I11" s="19"/>
      <c r="J11" s="19" t="str">
        <f>IF(ISBLANK(Data!F47),"",IF(Data!F47=Data!G47,Data!F47,IF(MIN(ABS(Data!F47-Data!E10),ABS(Data!G47-Data!E10))=ABS(Data!F47-Data!E10),Data!F47,IF(MIN(ABS(Data!F47-Data!E10),ABS(Data!G47-Data!E10))=ABS(Data!G47-Data!E10),Data!G47,""))))</f>
        <v/>
      </c>
      <c r="K11" s="20">
        <f t="shared" si="7"/>
        <v>1</v>
      </c>
      <c r="L11" s="20">
        <f t="shared" si="8"/>
        <v>1</v>
      </c>
      <c r="M11" s="18" t="str">
        <f>IF(ISBLANK(Data!E10),"",Data!E10)</f>
        <v/>
      </c>
      <c r="N11" s="19" t="str">
        <f>IF(ISBLANK(Data!C48),"",IF(Data!C48=Data!D48,Data!C48,IF(MIN(ABS(Data!C48-Data!E10),ABS(Data!D48-Data!E10))=ABS(Data!C48-Data!E10),Data!C48,IF(MIN(ABS(Data!C48-Data!E10),ABS(Data!D48-Data!E10))=ABS(Data!D48-Data!E10),Data!D48,""))))</f>
        <v/>
      </c>
      <c r="O11" s="19" t="str">
        <f>IF(ISBLANK(Data!G47),"",IF(Data!G47=Data!F47,Data!G47,IF(MIN(ABS(Data!G47-Data!E10),ABS(Data!F47-Data!E10))=ABS(Data!G47-Data!E10),Data!G47,IF(MIN(ABS(Data!G47-Data!E10),ABS(Data!F47-Data!E10))=ABS(Data!F47-Data!E10),Data!F47,""))))</f>
        <v/>
      </c>
      <c r="P11" s="20">
        <f t="shared" si="9"/>
        <v>1</v>
      </c>
      <c r="Q11" s="20">
        <f t="shared" si="10"/>
        <v>1</v>
      </c>
      <c r="R11" s="18" t="str">
        <f>IF(ISBLANK(Data!F10),"",Data!F10)</f>
        <v/>
      </c>
      <c r="S11" s="19" t="str">
        <f>IF(ISBLANK(Data!C48),"",IF(Data!C48=Data!D48,Data!C48,IF(MIN(ABS(Data!C48-Data!E10),ABS(Data!D48-Data!E10))=ABS(Data!C48-Data!E10),Data!C48,IF(MIN(ABS(Data!C48-Data!E10),ABS(Data!D48-Data!E10))=ABS(Data!D48-Data!E10),Data!D48,""))))</f>
        <v/>
      </c>
      <c r="T11" s="19" t="str">
        <f>IF(ISBLANK(Data!G47),"",IF(Data!G47=Data!G47,Data!G47,IF(MIN(ABS(Data!G47-Data!F10),ABS(Data!G47-Data!F10))=ABS(Data!G47-Data!F10),Data!G47,IF(MIN(ABS(Data!G47-Data!F10),ABS(Data!G47-Data!F10))=ABS(Data!G47-Data!F10),Data!G47,""))))</f>
        <v/>
      </c>
      <c r="U11" s="20">
        <f t="shared" si="11"/>
        <v>1</v>
      </c>
      <c r="V11" s="20">
        <f t="shared" si="12"/>
        <v>1</v>
      </c>
      <c r="W11" s="21">
        <f t="shared" si="0"/>
        <v>1</v>
      </c>
      <c r="X11" s="21">
        <f t="shared" si="1"/>
        <v>1</v>
      </c>
      <c r="Y11" s="28">
        <f t="shared" si="2"/>
        <v>1</v>
      </c>
      <c r="Z11" s="29">
        <f t="shared" si="3"/>
        <v>1</v>
      </c>
    </row>
    <row r="12" spans="2:29" s="5" customFormat="1" ht="14.1" customHeight="1" x14ac:dyDescent="0.25">
      <c r="B12" s="17">
        <f t="shared" si="4"/>
        <v>6</v>
      </c>
      <c r="C12" s="18" t="str">
        <f>IF(ISBLANK(Data!C11),"",Data!C11)</f>
        <v/>
      </c>
      <c r="D12" s="19"/>
      <c r="E12" s="19" t="str">
        <f>IF(ISBLANK(Data!F48),"",IF(Data!F48=Data!E48,Data!F48,IF(MIN(ABS(Data!F48-Data!C11),ABS(Data!E48-Data!C11))=ABS(Data!F48-Data!C11),Data!F48,IF(MIN(ABS(Data!F48-Data!C11),ABS(Data!E48-Data!C11))=ABS(Data!E48-Data!C11),Data!E48,""))))</f>
        <v/>
      </c>
      <c r="F12" s="20">
        <f t="shared" si="5"/>
        <v>1</v>
      </c>
      <c r="G12" s="20">
        <f t="shared" si="6"/>
        <v>1</v>
      </c>
      <c r="H12" s="18" t="str">
        <f>IF(ISBLANK(Data!D11),"",Data!D11)</f>
        <v/>
      </c>
      <c r="I12" s="19"/>
      <c r="J12" s="19" t="str">
        <f>IF(ISBLANK(Data!F48),"",IF(Data!F48=Data!G48,Data!F48,IF(MIN(ABS(Data!F48-Data!E11),ABS(Data!G48-Data!E11))=ABS(Data!F48-Data!E11),Data!F48,IF(MIN(ABS(Data!F48-Data!E11),ABS(Data!G48-Data!E11))=ABS(Data!G48-Data!E11),Data!G48,""))))</f>
        <v/>
      </c>
      <c r="K12" s="20">
        <f t="shared" si="7"/>
        <v>1</v>
      </c>
      <c r="L12" s="20">
        <f t="shared" si="8"/>
        <v>1</v>
      </c>
      <c r="M12" s="18" t="str">
        <f>IF(ISBLANK(Data!E11),"",Data!E11)</f>
        <v/>
      </c>
      <c r="N12" s="19" t="str">
        <f>IF(ISBLANK(Data!C49),"",IF(Data!C49=Data!D49,Data!C49,IF(MIN(ABS(Data!C49-Data!E11),ABS(Data!D49-Data!E11))=ABS(Data!C49-Data!E11),Data!C49,IF(MIN(ABS(Data!C49-Data!E11),ABS(Data!D49-Data!E11))=ABS(Data!D49-Data!E11),Data!D49,""))))</f>
        <v/>
      </c>
      <c r="O12" s="19" t="str">
        <f>IF(ISBLANK(Data!G48),"",IF(Data!G48=Data!F48,Data!G48,IF(MIN(ABS(Data!G48-Data!E11),ABS(Data!F48-Data!E11))=ABS(Data!G48-Data!E11),Data!G48,IF(MIN(ABS(Data!G48-Data!E11),ABS(Data!F48-Data!E11))=ABS(Data!F48-Data!E11),Data!F48,""))))</f>
        <v/>
      </c>
      <c r="P12" s="20">
        <f t="shared" si="9"/>
        <v>1</v>
      </c>
      <c r="Q12" s="20">
        <f t="shared" si="10"/>
        <v>1</v>
      </c>
      <c r="R12" s="18" t="str">
        <f>IF(ISBLANK(Data!F11),"",Data!F11)</f>
        <v/>
      </c>
      <c r="S12" s="19" t="str">
        <f>IF(ISBLANK(Data!C49),"",IF(Data!C49=Data!D49,Data!C49,IF(MIN(ABS(Data!C49-Data!E11),ABS(Data!D49-Data!E11))=ABS(Data!C49-Data!E11),Data!C49,IF(MIN(ABS(Data!C49-Data!E11),ABS(Data!D49-Data!E11))=ABS(Data!D49-Data!E11),Data!D49,""))))</f>
        <v/>
      </c>
      <c r="T12" s="19" t="str">
        <f>IF(ISBLANK(Data!G48),"",IF(Data!G48=Data!G48,Data!G48,IF(MIN(ABS(Data!G48-Data!F11),ABS(Data!G48-Data!F11))=ABS(Data!G48-Data!F11),Data!G48,IF(MIN(ABS(Data!G48-Data!F11),ABS(Data!G48-Data!F11))=ABS(Data!G48-Data!F11),Data!G48,""))))</f>
        <v/>
      </c>
      <c r="U12" s="20">
        <f t="shared" si="11"/>
        <v>1</v>
      </c>
      <c r="V12" s="20">
        <f t="shared" si="12"/>
        <v>1</v>
      </c>
      <c r="W12" s="21">
        <f t="shared" si="0"/>
        <v>1</v>
      </c>
      <c r="X12" s="21">
        <f t="shared" si="1"/>
        <v>1</v>
      </c>
      <c r="Y12" s="28">
        <f t="shared" si="2"/>
        <v>1</v>
      </c>
      <c r="Z12" s="29">
        <f t="shared" si="3"/>
        <v>1</v>
      </c>
    </row>
    <row r="13" spans="2:29" s="5" customFormat="1" ht="14.1" customHeight="1" x14ac:dyDescent="0.25">
      <c r="B13" s="17">
        <f t="shared" si="4"/>
        <v>7</v>
      </c>
      <c r="C13" s="18" t="str">
        <f>IF(ISBLANK(Data!C12),"",Data!C12)</f>
        <v/>
      </c>
      <c r="D13" s="19"/>
      <c r="E13" s="19" t="str">
        <f>IF(ISBLANK(Data!F49),"",IF(Data!F49=Data!E49,Data!F49,IF(MIN(ABS(Data!F49-Data!C12),ABS(Data!E49-Data!C12))=ABS(Data!F49-Data!C12),Data!F49,IF(MIN(ABS(Data!F49-Data!C12),ABS(Data!E49-Data!C12))=ABS(Data!E49-Data!C12),Data!E49,""))))</f>
        <v/>
      </c>
      <c r="F13" s="20">
        <f t="shared" si="5"/>
        <v>1</v>
      </c>
      <c r="G13" s="20">
        <f t="shared" si="6"/>
        <v>1</v>
      </c>
      <c r="H13" s="18" t="str">
        <f>IF(ISBLANK(Data!D12),"",Data!D12)</f>
        <v/>
      </c>
      <c r="I13" s="19"/>
      <c r="J13" s="19" t="str">
        <f>IF(ISBLANK(Data!F49),"",IF(Data!F49=Data!G49,Data!F49,IF(MIN(ABS(Data!F49-Data!E12),ABS(Data!G49-Data!E12))=ABS(Data!F49-Data!E12),Data!F49,IF(MIN(ABS(Data!F49-Data!E12),ABS(Data!G49-Data!E12))=ABS(Data!G49-Data!E12),Data!G49,""))))</f>
        <v/>
      </c>
      <c r="K13" s="20">
        <f t="shared" si="7"/>
        <v>1</v>
      </c>
      <c r="L13" s="20">
        <f t="shared" si="8"/>
        <v>1</v>
      </c>
      <c r="M13" s="18" t="str">
        <f>IF(ISBLANK(Data!E12),"",Data!E12)</f>
        <v/>
      </c>
      <c r="N13" s="19" t="str">
        <f>IF(ISBLANK(Data!C50),"",IF(Data!C50=Data!D50,Data!C50,IF(MIN(ABS(Data!C50-Data!E12),ABS(Data!D50-Data!E12))=ABS(Data!C50-Data!E12),Data!C50,IF(MIN(ABS(Data!C50-Data!E12),ABS(Data!D50-Data!E12))=ABS(Data!D50-Data!E12),Data!D50,""))))</f>
        <v/>
      </c>
      <c r="O13" s="19" t="str">
        <f>IF(ISBLANK(Data!G49),"",IF(Data!G49=Data!F49,Data!G49,IF(MIN(ABS(Data!G49-Data!E12),ABS(Data!F49-Data!E12))=ABS(Data!G49-Data!E12),Data!G49,IF(MIN(ABS(Data!G49-Data!E12),ABS(Data!F49-Data!E12))=ABS(Data!F49-Data!E12),Data!F49,""))))</f>
        <v/>
      </c>
      <c r="P13" s="20">
        <f t="shared" si="9"/>
        <v>1</v>
      </c>
      <c r="Q13" s="20">
        <f t="shared" si="10"/>
        <v>1</v>
      </c>
      <c r="R13" s="18" t="str">
        <f>IF(ISBLANK(Data!F12),"",Data!F12)</f>
        <v/>
      </c>
      <c r="S13" s="19" t="str">
        <f>IF(ISBLANK(Data!C50),"",IF(Data!C50=Data!D50,Data!C50,IF(MIN(ABS(Data!C50-Data!E12),ABS(Data!D50-Data!E12))=ABS(Data!C50-Data!E12),Data!C50,IF(MIN(ABS(Data!C50-Data!E12),ABS(Data!D50-Data!E12))=ABS(Data!D50-Data!E12),Data!D50,""))))</f>
        <v/>
      </c>
      <c r="T13" s="19" t="str">
        <f>IF(ISBLANK(Data!G49),"",IF(Data!G49=Data!G49,Data!G49,IF(MIN(ABS(Data!G49-Data!F12),ABS(Data!G49-Data!F12))=ABS(Data!G49-Data!F12),Data!G49,IF(MIN(ABS(Data!G49-Data!F12),ABS(Data!G49-Data!F12))=ABS(Data!G49-Data!F12),Data!G49,""))))</f>
        <v/>
      </c>
      <c r="U13" s="20">
        <f t="shared" si="11"/>
        <v>1</v>
      </c>
      <c r="V13" s="20">
        <f t="shared" si="12"/>
        <v>1</v>
      </c>
      <c r="W13" s="21">
        <f t="shared" si="0"/>
        <v>1</v>
      </c>
      <c r="X13" s="21">
        <f t="shared" si="1"/>
        <v>1</v>
      </c>
      <c r="Y13" s="28">
        <f t="shared" si="2"/>
        <v>1</v>
      </c>
      <c r="Z13" s="29">
        <f t="shared" si="3"/>
        <v>1</v>
      </c>
    </row>
    <row r="14" spans="2:29" s="5" customFormat="1" ht="14.1" customHeight="1" x14ac:dyDescent="0.25">
      <c r="B14" s="17">
        <f t="shared" si="4"/>
        <v>8</v>
      </c>
      <c r="C14" s="18" t="str">
        <f>IF(ISBLANK(Data!C13),"",Data!C13)</f>
        <v/>
      </c>
      <c r="D14" s="19"/>
      <c r="E14" s="19" t="str">
        <f>IF(ISBLANK(Data!F50),"",IF(Data!F50=Data!E50,Data!F50,IF(MIN(ABS(Data!F50-Data!C13),ABS(Data!E50-Data!C13))=ABS(Data!F50-Data!C13),Data!F50,IF(MIN(ABS(Data!F50-Data!C13),ABS(Data!E50-Data!C13))=ABS(Data!E50-Data!C13),Data!E50,""))))</f>
        <v/>
      </c>
      <c r="F14" s="20">
        <f t="shared" si="5"/>
        <v>1</v>
      </c>
      <c r="G14" s="20">
        <f t="shared" si="6"/>
        <v>1</v>
      </c>
      <c r="H14" s="18" t="str">
        <f>IF(ISBLANK(Data!D13),"",Data!D13)</f>
        <v/>
      </c>
      <c r="I14" s="19"/>
      <c r="J14" s="19" t="str">
        <f>IF(ISBLANK(Data!F50),"",IF(Data!F50=Data!G50,Data!F50,IF(MIN(ABS(Data!F50-Data!E13),ABS(Data!G50-Data!E13))=ABS(Data!F50-Data!E13),Data!F50,IF(MIN(ABS(Data!F50-Data!E13),ABS(Data!G50-Data!E13))=ABS(Data!G50-Data!E13),Data!G50,""))))</f>
        <v/>
      </c>
      <c r="K14" s="20">
        <f t="shared" si="7"/>
        <v>1</v>
      </c>
      <c r="L14" s="20">
        <f t="shared" si="8"/>
        <v>1</v>
      </c>
      <c r="M14" s="18" t="str">
        <f>IF(ISBLANK(Data!E13),"",Data!E13)</f>
        <v/>
      </c>
      <c r="N14" s="19" t="str">
        <f>IF(ISBLANK(Data!C51),"",IF(Data!C51=Data!D51,Data!C51,IF(MIN(ABS(Data!C51-Data!E13),ABS(Data!D51-Data!E13))=ABS(Data!C51-Data!E13),Data!C51,IF(MIN(ABS(Data!C51-Data!E13),ABS(Data!D51-Data!E13))=ABS(Data!D51-Data!E13),Data!D51,""))))</f>
        <v/>
      </c>
      <c r="O14" s="19" t="str">
        <f>IF(ISBLANK(Data!G50),"",IF(Data!G50=Data!F50,Data!G50,IF(MIN(ABS(Data!G50-Data!E13),ABS(Data!F50-Data!E13))=ABS(Data!G50-Data!E13),Data!G50,IF(MIN(ABS(Data!G50-Data!E13),ABS(Data!F50-Data!E13))=ABS(Data!F50-Data!E13),Data!F50,""))))</f>
        <v/>
      </c>
      <c r="P14" s="20">
        <f t="shared" si="9"/>
        <v>1</v>
      </c>
      <c r="Q14" s="20">
        <f t="shared" si="10"/>
        <v>1</v>
      </c>
      <c r="R14" s="18" t="str">
        <f>IF(ISBLANK(Data!F13),"",Data!F13)</f>
        <v/>
      </c>
      <c r="S14" s="19" t="str">
        <f>IF(ISBLANK(Data!C51),"",IF(Data!C51=Data!D51,Data!C51,IF(MIN(ABS(Data!C51-Data!E13),ABS(Data!D51-Data!E13))=ABS(Data!C51-Data!E13),Data!C51,IF(MIN(ABS(Data!C51-Data!E13),ABS(Data!D51-Data!E13))=ABS(Data!D51-Data!E13),Data!D51,""))))</f>
        <v/>
      </c>
      <c r="T14" s="19" t="str">
        <f>IF(ISBLANK(Data!G50),"",IF(Data!G50=Data!G50,Data!G50,IF(MIN(ABS(Data!G50-Data!F13),ABS(Data!G50-Data!F13))=ABS(Data!G50-Data!F13),Data!G50,IF(MIN(ABS(Data!G50-Data!F13),ABS(Data!G50-Data!F13))=ABS(Data!G50-Data!F13),Data!G50,""))))</f>
        <v/>
      </c>
      <c r="U14" s="20">
        <f t="shared" si="11"/>
        <v>1</v>
      </c>
      <c r="V14" s="20">
        <f t="shared" si="12"/>
        <v>1</v>
      </c>
      <c r="W14" s="21">
        <f t="shared" si="0"/>
        <v>1</v>
      </c>
      <c r="X14" s="21">
        <f t="shared" si="1"/>
        <v>1</v>
      </c>
      <c r="Y14" s="28">
        <f t="shared" si="2"/>
        <v>1</v>
      </c>
      <c r="Z14" s="29">
        <f t="shared" si="3"/>
        <v>1</v>
      </c>
    </row>
    <row r="15" spans="2:29" s="5" customFormat="1" ht="14.1" customHeight="1" x14ac:dyDescent="0.25">
      <c r="B15" s="17">
        <f t="shared" si="4"/>
        <v>9</v>
      </c>
      <c r="C15" s="18" t="str">
        <f>IF(ISBLANK(Data!C14),"",Data!C14)</f>
        <v/>
      </c>
      <c r="D15" s="19"/>
      <c r="E15" s="19" t="str">
        <f>IF(ISBLANK(Data!F51),"",IF(Data!F51=Data!E51,Data!F51,IF(MIN(ABS(Data!F51-Data!C14),ABS(Data!E51-Data!C14))=ABS(Data!F51-Data!C14),Data!F51,IF(MIN(ABS(Data!F51-Data!C14),ABS(Data!E51-Data!C14))=ABS(Data!E51-Data!C14),Data!E51,""))))</f>
        <v/>
      </c>
      <c r="F15" s="20">
        <f t="shared" si="5"/>
        <v>1</v>
      </c>
      <c r="G15" s="20">
        <f t="shared" si="6"/>
        <v>1</v>
      </c>
      <c r="H15" s="18" t="str">
        <f>IF(ISBLANK(Data!D14),"",Data!D14)</f>
        <v/>
      </c>
      <c r="I15" s="19"/>
      <c r="J15" s="19" t="str">
        <f>IF(ISBLANK(Data!F51),"",IF(Data!F51=Data!G51,Data!F51,IF(MIN(ABS(Data!F51-Data!E14),ABS(Data!G51-Data!E14))=ABS(Data!F51-Data!E14),Data!F51,IF(MIN(ABS(Data!F51-Data!E14),ABS(Data!G51-Data!E14))=ABS(Data!G51-Data!E14),Data!G51,""))))</f>
        <v/>
      </c>
      <c r="K15" s="20">
        <f t="shared" si="7"/>
        <v>1</v>
      </c>
      <c r="L15" s="20">
        <f t="shared" si="8"/>
        <v>1</v>
      </c>
      <c r="M15" s="18" t="str">
        <f>IF(ISBLANK(Data!E14),"",Data!E14)</f>
        <v/>
      </c>
      <c r="N15" s="19" t="str">
        <f>IF(ISBLANK(Data!C52),"",IF(Data!C52=Data!D52,Data!C52,IF(MIN(ABS(Data!C52-Data!E14),ABS(Data!D52-Data!E14))=ABS(Data!C52-Data!E14),Data!C52,IF(MIN(ABS(Data!C52-Data!E14),ABS(Data!D52-Data!E14))=ABS(Data!D52-Data!E14),Data!D52,""))))</f>
        <v/>
      </c>
      <c r="O15" s="19" t="str">
        <f>IF(ISBLANK(Data!G51),"",IF(Data!G51=Data!F51,Data!G51,IF(MIN(ABS(Data!G51-Data!E14),ABS(Data!F51-Data!E14))=ABS(Data!G51-Data!E14),Data!G51,IF(MIN(ABS(Data!G51-Data!E14),ABS(Data!F51-Data!E14))=ABS(Data!F51-Data!E14),Data!F51,""))))</f>
        <v/>
      </c>
      <c r="P15" s="20">
        <f t="shared" si="9"/>
        <v>1</v>
      </c>
      <c r="Q15" s="20">
        <f t="shared" si="10"/>
        <v>1</v>
      </c>
      <c r="R15" s="18" t="str">
        <f>IF(ISBLANK(Data!F14),"",Data!F14)</f>
        <v/>
      </c>
      <c r="S15" s="19" t="str">
        <f>IF(ISBLANK(Data!C52),"",IF(Data!C52=Data!D52,Data!C52,IF(MIN(ABS(Data!C52-Data!E14),ABS(Data!D52-Data!E14))=ABS(Data!C52-Data!E14),Data!C52,IF(MIN(ABS(Data!C52-Data!E14),ABS(Data!D52-Data!E14))=ABS(Data!D52-Data!E14),Data!D52,""))))</f>
        <v/>
      </c>
      <c r="T15" s="19" t="str">
        <f>IF(ISBLANK(Data!G51),"",IF(Data!G51=Data!G51,Data!G51,IF(MIN(ABS(Data!G51-Data!F14),ABS(Data!G51-Data!F14))=ABS(Data!G51-Data!F14),Data!G51,IF(MIN(ABS(Data!G51-Data!F14),ABS(Data!G51-Data!F14))=ABS(Data!G51-Data!F14),Data!G51,""))))</f>
        <v/>
      </c>
      <c r="U15" s="20">
        <f t="shared" si="11"/>
        <v>1</v>
      </c>
      <c r="V15" s="20">
        <f t="shared" si="12"/>
        <v>1</v>
      </c>
      <c r="W15" s="21">
        <f t="shared" si="0"/>
        <v>1</v>
      </c>
      <c r="X15" s="21">
        <f t="shared" si="1"/>
        <v>1</v>
      </c>
      <c r="Y15" s="28">
        <f t="shared" si="2"/>
        <v>1</v>
      </c>
      <c r="Z15" s="29">
        <f t="shared" si="3"/>
        <v>1</v>
      </c>
    </row>
    <row r="16" spans="2:29" s="5" customFormat="1" ht="14.1" customHeight="1" x14ac:dyDescent="0.25">
      <c r="B16" s="17">
        <f t="shared" si="4"/>
        <v>10</v>
      </c>
      <c r="C16" s="18" t="str">
        <f>IF(ISBLANK(Data!C15),"",Data!C15)</f>
        <v/>
      </c>
      <c r="D16" s="19"/>
      <c r="E16" s="19" t="str">
        <f>IF(ISBLANK(Data!F52),"",IF(Data!F52=Data!E52,Data!F52,IF(MIN(ABS(Data!F52-Data!C15),ABS(Data!E52-Data!C15))=ABS(Data!F52-Data!C15),Data!F52,IF(MIN(ABS(Data!F52-Data!C15),ABS(Data!E52-Data!C15))=ABS(Data!E52-Data!C15),Data!E52,""))))</f>
        <v/>
      </c>
      <c r="F16" s="20">
        <f t="shared" si="5"/>
        <v>1</v>
      </c>
      <c r="G16" s="20">
        <f t="shared" si="6"/>
        <v>1</v>
      </c>
      <c r="H16" s="18" t="str">
        <f>IF(ISBLANK(Data!D15),"",Data!D15)</f>
        <v/>
      </c>
      <c r="I16" s="19"/>
      <c r="J16" s="19" t="str">
        <f>IF(ISBLANK(Data!F52),"",IF(Data!F52=Data!G52,Data!F52,IF(MIN(ABS(Data!F52-Data!E15),ABS(Data!G52-Data!E15))=ABS(Data!F52-Data!E15),Data!F52,IF(MIN(ABS(Data!F52-Data!E15),ABS(Data!G52-Data!E15))=ABS(Data!G52-Data!E15),Data!G52,""))))</f>
        <v/>
      </c>
      <c r="K16" s="20">
        <f t="shared" si="7"/>
        <v>1</v>
      </c>
      <c r="L16" s="20">
        <f t="shared" si="8"/>
        <v>1</v>
      </c>
      <c r="M16" s="18" t="str">
        <f>IF(ISBLANK(Data!E15),"",Data!E15)</f>
        <v/>
      </c>
      <c r="N16" s="19" t="str">
        <f>IF(ISBLANK(Data!C53),"",IF(Data!C53=Data!D53,Data!C53,IF(MIN(ABS(Data!C53-Data!E15),ABS(Data!D53-Data!E15))=ABS(Data!C53-Data!E15),Data!C53,IF(MIN(ABS(Data!C53-Data!E15),ABS(Data!D53-Data!E15))=ABS(Data!D53-Data!E15),Data!D53,""))))</f>
        <v/>
      </c>
      <c r="O16" s="19" t="str">
        <f>IF(ISBLANK(Data!G52),"",IF(Data!G52=Data!F52,Data!G52,IF(MIN(ABS(Data!G52-Data!E15),ABS(Data!F52-Data!E15))=ABS(Data!G52-Data!E15),Data!G52,IF(MIN(ABS(Data!G52-Data!E15),ABS(Data!F52-Data!E15))=ABS(Data!F52-Data!E15),Data!F52,""))))</f>
        <v/>
      </c>
      <c r="P16" s="20">
        <f t="shared" si="9"/>
        <v>1</v>
      </c>
      <c r="Q16" s="20">
        <f t="shared" si="10"/>
        <v>1</v>
      </c>
      <c r="R16" s="18" t="str">
        <f>IF(ISBLANK(Data!F15),"",Data!F15)</f>
        <v/>
      </c>
      <c r="S16" s="19" t="str">
        <f>IF(ISBLANK(Data!C53),"",IF(Data!C53=Data!D53,Data!C53,IF(MIN(ABS(Data!C53-Data!E15),ABS(Data!D53-Data!E15))=ABS(Data!C53-Data!E15),Data!C53,IF(MIN(ABS(Data!C53-Data!E15),ABS(Data!D53-Data!E15))=ABS(Data!D53-Data!E15),Data!D53,""))))</f>
        <v/>
      </c>
      <c r="T16" s="19" t="str">
        <f>IF(ISBLANK(Data!G52),"",IF(Data!G52=Data!G52,Data!G52,IF(MIN(ABS(Data!G52-Data!F15),ABS(Data!G52-Data!F15))=ABS(Data!G52-Data!F15),Data!G52,IF(MIN(ABS(Data!G52-Data!F15),ABS(Data!G52-Data!F15))=ABS(Data!G52-Data!F15),Data!G52,""))))</f>
        <v/>
      </c>
      <c r="U16" s="20">
        <f t="shared" si="11"/>
        <v>1</v>
      </c>
      <c r="V16" s="20">
        <f t="shared" si="12"/>
        <v>1</v>
      </c>
      <c r="W16" s="21">
        <f t="shared" si="0"/>
        <v>1</v>
      </c>
      <c r="X16" s="21">
        <f t="shared" si="1"/>
        <v>1</v>
      </c>
      <c r="Y16" s="28">
        <f t="shared" si="2"/>
        <v>1</v>
      </c>
      <c r="Z16" s="29">
        <f t="shared" si="3"/>
        <v>1</v>
      </c>
      <c r="AB16" s="5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</row>
    <row r="17" spans="2:26" s="5" customFormat="1" ht="14.1" customHeight="1" x14ac:dyDescent="0.25">
      <c r="B17" s="17">
        <f t="shared" si="4"/>
        <v>11</v>
      </c>
      <c r="C17" s="18" t="str">
        <f>IF(ISBLANK(Data!C16),"",Data!C16)</f>
        <v/>
      </c>
      <c r="D17" s="19"/>
      <c r="E17" s="19" t="str">
        <f>IF(ISBLANK(Data!F53),"",IF(Data!F53=Data!E53,Data!F53,IF(MIN(ABS(Data!F53-Data!C16),ABS(Data!E53-Data!C16))=ABS(Data!F53-Data!C16),Data!F53,IF(MIN(ABS(Data!F53-Data!C16),ABS(Data!E53-Data!C16))=ABS(Data!E53-Data!C16),Data!E53,""))))</f>
        <v/>
      </c>
      <c r="F17" s="20">
        <f t="shared" si="5"/>
        <v>1</v>
      </c>
      <c r="G17" s="20">
        <f t="shared" si="6"/>
        <v>1</v>
      </c>
      <c r="H17" s="18" t="str">
        <f>IF(ISBLANK(Data!D16),"",Data!D16)</f>
        <v/>
      </c>
      <c r="I17" s="19"/>
      <c r="J17" s="19" t="str">
        <f>IF(ISBLANK(Data!F53),"",IF(Data!F53=Data!G53,Data!F53,IF(MIN(ABS(Data!F53-Data!E16),ABS(Data!G53-Data!E16))=ABS(Data!F53-Data!E16),Data!F53,IF(MIN(ABS(Data!F53-Data!E16),ABS(Data!G53-Data!E16))=ABS(Data!G53-Data!E16),Data!G53,""))))</f>
        <v/>
      </c>
      <c r="K17" s="20">
        <f t="shared" si="7"/>
        <v>1</v>
      </c>
      <c r="L17" s="20">
        <f t="shared" si="8"/>
        <v>1</v>
      </c>
      <c r="M17" s="18" t="str">
        <f>IF(ISBLANK(Data!E16),"",Data!E16)</f>
        <v/>
      </c>
      <c r="N17" s="19" t="str">
        <f>IF(ISBLANK(Data!C54),"",IF(Data!C54=Data!D54,Data!C54,IF(MIN(ABS(Data!C54-Data!E16),ABS(Data!D54-Data!E16))=ABS(Data!C54-Data!E16),Data!C54,IF(MIN(ABS(Data!C54-Data!E16),ABS(Data!D54-Data!E16))=ABS(Data!D54-Data!E16),Data!D54,""))))</f>
        <v/>
      </c>
      <c r="O17" s="19" t="str">
        <f>IF(ISBLANK(Data!G53),"",IF(Data!G53=Data!F53,Data!G53,IF(MIN(ABS(Data!G53-Data!E16),ABS(Data!F53-Data!E16))=ABS(Data!G53-Data!E16),Data!G53,IF(MIN(ABS(Data!G53-Data!E16),ABS(Data!F53-Data!E16))=ABS(Data!F53-Data!E16),Data!F53,""))))</f>
        <v/>
      </c>
      <c r="P17" s="20">
        <f t="shared" si="9"/>
        <v>1</v>
      </c>
      <c r="Q17" s="20">
        <f t="shared" si="10"/>
        <v>1</v>
      </c>
      <c r="R17" s="18" t="str">
        <f>IF(ISBLANK(Data!F16),"",Data!F16)</f>
        <v/>
      </c>
      <c r="S17" s="19" t="str">
        <f>IF(ISBLANK(Data!C54),"",IF(Data!C54=Data!D54,Data!C54,IF(MIN(ABS(Data!C54-Data!E16),ABS(Data!D54-Data!E16))=ABS(Data!C54-Data!E16),Data!C54,IF(MIN(ABS(Data!C54-Data!E16),ABS(Data!D54-Data!E16))=ABS(Data!D54-Data!E16),Data!D54,""))))</f>
        <v/>
      </c>
      <c r="T17" s="19" t="str">
        <f>IF(ISBLANK(Data!G53),"",IF(Data!G53=Data!G53,Data!G53,IF(MIN(ABS(Data!G53-Data!F16),ABS(Data!G53-Data!F16))=ABS(Data!G53-Data!F16),Data!G53,IF(MIN(ABS(Data!G53-Data!F16),ABS(Data!G53-Data!F16))=ABS(Data!G53-Data!F16),Data!G53,""))))</f>
        <v/>
      </c>
      <c r="U17" s="20">
        <f t="shared" si="11"/>
        <v>1</v>
      </c>
      <c r="V17" s="20">
        <f t="shared" si="12"/>
        <v>1</v>
      </c>
      <c r="W17" s="21">
        <f t="shared" si="0"/>
        <v>1</v>
      </c>
      <c r="X17" s="21">
        <f t="shared" si="1"/>
        <v>1</v>
      </c>
      <c r="Y17" s="28">
        <f t="shared" si="2"/>
        <v>1</v>
      </c>
      <c r="Z17" s="29">
        <f t="shared" si="3"/>
        <v>1</v>
      </c>
    </row>
    <row r="18" spans="2:26" s="5" customFormat="1" ht="14.1" customHeight="1" x14ac:dyDescent="0.25">
      <c r="B18" s="17">
        <f t="shared" si="4"/>
        <v>12</v>
      </c>
      <c r="C18" s="18" t="str">
        <f>IF(ISBLANK(Data!C17),"",Data!C17)</f>
        <v/>
      </c>
      <c r="D18" s="19"/>
      <c r="E18" s="19" t="str">
        <f>IF(ISBLANK(Data!F54),"",IF(Data!F54=Data!E54,Data!F54,IF(MIN(ABS(Data!F54-Data!C17),ABS(Data!E54-Data!C17))=ABS(Data!F54-Data!C17),Data!F54,IF(MIN(ABS(Data!F54-Data!C17),ABS(Data!E54-Data!C17))=ABS(Data!E54-Data!C17),Data!E54,""))))</f>
        <v/>
      </c>
      <c r="F18" s="20">
        <f t="shared" si="5"/>
        <v>1</v>
      </c>
      <c r="G18" s="20">
        <f t="shared" si="6"/>
        <v>1</v>
      </c>
      <c r="H18" s="18" t="str">
        <f>IF(ISBLANK(Data!D17),"",Data!D17)</f>
        <v/>
      </c>
      <c r="I18" s="19"/>
      <c r="J18" s="19" t="str">
        <f>IF(ISBLANK(Data!F54),"",IF(Data!F54=Data!G54,Data!F54,IF(MIN(ABS(Data!F54-Data!E17),ABS(Data!G54-Data!E17))=ABS(Data!F54-Data!E17),Data!F54,IF(MIN(ABS(Data!F54-Data!E17),ABS(Data!G54-Data!E17))=ABS(Data!G54-Data!E17),Data!G54,""))))</f>
        <v/>
      </c>
      <c r="K18" s="20">
        <f t="shared" si="7"/>
        <v>1</v>
      </c>
      <c r="L18" s="20">
        <f t="shared" si="8"/>
        <v>1</v>
      </c>
      <c r="M18" s="18" t="str">
        <f>IF(ISBLANK(Data!E17),"",Data!E17)</f>
        <v/>
      </c>
      <c r="N18" s="19" t="str">
        <f>IF(ISBLANK(Data!C55),"",IF(Data!C55=Data!D55,Data!C55,IF(MIN(ABS(Data!C55-Data!E17),ABS(Data!D55-Data!E17))=ABS(Data!C55-Data!E17),Data!C55,IF(MIN(ABS(Data!C55-Data!E17),ABS(Data!D55-Data!E17))=ABS(Data!D55-Data!E17),Data!D55,""))))</f>
        <v/>
      </c>
      <c r="O18" s="19" t="str">
        <f>IF(ISBLANK(Data!G54),"",IF(Data!G54=Data!F54,Data!G54,IF(MIN(ABS(Data!G54-Data!E17),ABS(Data!F54-Data!E17))=ABS(Data!G54-Data!E17),Data!G54,IF(MIN(ABS(Data!G54-Data!E17),ABS(Data!F54-Data!E17))=ABS(Data!F54-Data!E17),Data!F54,""))))</f>
        <v/>
      </c>
      <c r="P18" s="20">
        <f t="shared" si="9"/>
        <v>1</v>
      </c>
      <c r="Q18" s="20">
        <f t="shared" si="10"/>
        <v>1</v>
      </c>
      <c r="R18" s="18" t="str">
        <f>IF(ISBLANK(Data!F17),"",Data!F17)</f>
        <v/>
      </c>
      <c r="S18" s="19" t="str">
        <f>IF(ISBLANK(Data!C55),"",IF(Data!C55=Data!D55,Data!C55,IF(MIN(ABS(Data!C55-Data!E17),ABS(Data!D55-Data!E17))=ABS(Data!C55-Data!E17),Data!C55,IF(MIN(ABS(Data!C55-Data!E17),ABS(Data!D55-Data!E17))=ABS(Data!D55-Data!E17),Data!D55,""))))</f>
        <v/>
      </c>
      <c r="T18" s="19" t="str">
        <f>IF(ISBLANK(Data!G54),"",IF(Data!G54=Data!G54,Data!G54,IF(MIN(ABS(Data!G54-Data!F17),ABS(Data!G54-Data!F17))=ABS(Data!G54-Data!F17),Data!G54,IF(MIN(ABS(Data!G54-Data!F17),ABS(Data!G54-Data!F17))=ABS(Data!G54-Data!F17),Data!G54,""))))</f>
        <v/>
      </c>
      <c r="U18" s="20">
        <f t="shared" si="11"/>
        <v>1</v>
      </c>
      <c r="V18" s="20">
        <f t="shared" si="12"/>
        <v>1</v>
      </c>
      <c r="W18" s="21">
        <f t="shared" si="0"/>
        <v>1</v>
      </c>
      <c r="X18" s="21">
        <f t="shared" si="1"/>
        <v>1</v>
      </c>
      <c r="Y18" s="28">
        <f t="shared" si="2"/>
        <v>1</v>
      </c>
      <c r="Z18" s="29">
        <f t="shared" si="3"/>
        <v>1</v>
      </c>
    </row>
    <row r="19" spans="2:26" s="5" customFormat="1" ht="14.1" customHeight="1" x14ac:dyDescent="0.25">
      <c r="B19" s="17">
        <f t="shared" si="4"/>
        <v>13</v>
      </c>
      <c r="C19" s="18" t="str">
        <f>IF(ISBLANK(Data!C18),"",Data!C18)</f>
        <v/>
      </c>
      <c r="D19" s="19"/>
      <c r="E19" s="19" t="str">
        <f>IF(ISBLANK(Data!F55),"",IF(Data!F55=Data!E55,Data!F55,IF(MIN(ABS(Data!F55-Data!C18),ABS(Data!E55-Data!C18))=ABS(Data!F55-Data!C18),Data!F55,IF(MIN(ABS(Data!F55-Data!C18),ABS(Data!E55-Data!C18))=ABS(Data!E55-Data!C18),Data!E55,""))))</f>
        <v/>
      </c>
      <c r="F19" s="20">
        <f t="shared" si="5"/>
        <v>1</v>
      </c>
      <c r="G19" s="20">
        <f t="shared" si="6"/>
        <v>1</v>
      </c>
      <c r="H19" s="18" t="str">
        <f>IF(ISBLANK(Data!D18),"",Data!D18)</f>
        <v/>
      </c>
      <c r="I19" s="19"/>
      <c r="J19" s="19" t="str">
        <f>IF(ISBLANK(Data!F55),"",IF(Data!F55=Data!G55,Data!F55,IF(MIN(ABS(Data!F55-Data!E18),ABS(Data!G55-Data!E18))=ABS(Data!F55-Data!E18),Data!F55,IF(MIN(ABS(Data!F55-Data!E18),ABS(Data!G55-Data!E18))=ABS(Data!G55-Data!E18),Data!G55,""))))</f>
        <v/>
      </c>
      <c r="K19" s="20">
        <f t="shared" si="7"/>
        <v>1</v>
      </c>
      <c r="L19" s="20">
        <f t="shared" si="8"/>
        <v>1</v>
      </c>
      <c r="M19" s="18" t="str">
        <f>IF(ISBLANK(Data!E18),"",Data!E18)</f>
        <v/>
      </c>
      <c r="N19" s="19" t="str">
        <f>IF(ISBLANK(Data!C56),"",IF(Data!C56=Data!D56,Data!C56,IF(MIN(ABS(Data!C56-Data!E18),ABS(Data!D56-Data!E18))=ABS(Data!C56-Data!E18),Data!C56,IF(MIN(ABS(Data!C56-Data!E18),ABS(Data!D56-Data!E18))=ABS(Data!D56-Data!E18),Data!D56,""))))</f>
        <v/>
      </c>
      <c r="O19" s="19" t="str">
        <f>IF(ISBLANK(Data!G55),"",IF(Data!G55=Data!F55,Data!G55,IF(MIN(ABS(Data!G55-Data!E18),ABS(Data!F55-Data!E18))=ABS(Data!G55-Data!E18),Data!G55,IF(MIN(ABS(Data!G55-Data!E18),ABS(Data!F55-Data!E18))=ABS(Data!F55-Data!E18),Data!F55,""))))</f>
        <v/>
      </c>
      <c r="P19" s="20">
        <f t="shared" si="9"/>
        <v>1</v>
      </c>
      <c r="Q19" s="20">
        <f t="shared" si="10"/>
        <v>1</v>
      </c>
      <c r="R19" s="18" t="str">
        <f>IF(ISBLANK(Data!F18),"",Data!F18)</f>
        <v/>
      </c>
      <c r="S19" s="19" t="str">
        <f>IF(ISBLANK(Data!C56),"",IF(Data!C56=Data!D56,Data!C56,IF(MIN(ABS(Data!C56-Data!E18),ABS(Data!D56-Data!E18))=ABS(Data!C56-Data!E18),Data!C56,IF(MIN(ABS(Data!C56-Data!E18),ABS(Data!D56-Data!E18))=ABS(Data!D56-Data!E18),Data!D56,""))))</f>
        <v/>
      </c>
      <c r="T19" s="19" t="str">
        <f>IF(ISBLANK(Data!G55),"",IF(Data!G55=Data!G55,Data!G55,IF(MIN(ABS(Data!G55-Data!F18),ABS(Data!G55-Data!F18))=ABS(Data!G55-Data!F18),Data!G55,IF(MIN(ABS(Data!G55-Data!F18),ABS(Data!G55-Data!F18))=ABS(Data!G55-Data!F18),Data!G55,""))))</f>
        <v/>
      </c>
      <c r="U19" s="20">
        <f t="shared" si="11"/>
        <v>1</v>
      </c>
      <c r="V19" s="20">
        <f t="shared" si="12"/>
        <v>1</v>
      </c>
      <c r="W19" s="21">
        <f t="shared" si="0"/>
        <v>1</v>
      </c>
      <c r="X19" s="21">
        <f t="shared" si="1"/>
        <v>1</v>
      </c>
      <c r="Y19" s="28">
        <f t="shared" si="2"/>
        <v>1</v>
      </c>
      <c r="Z19" s="29">
        <f t="shared" si="3"/>
        <v>1</v>
      </c>
    </row>
    <row r="20" spans="2:26" s="5" customFormat="1" ht="14.1" customHeight="1" x14ac:dyDescent="0.25">
      <c r="B20" s="17">
        <f t="shared" si="4"/>
        <v>14</v>
      </c>
      <c r="C20" s="18" t="str">
        <f>IF(ISBLANK(Data!C19),"",Data!C19)</f>
        <v/>
      </c>
      <c r="D20" s="19"/>
      <c r="E20" s="19" t="str">
        <f>IF(ISBLANK(Data!F56),"",IF(Data!F56=Data!E56,Data!F56,IF(MIN(ABS(Data!F56-Data!C19),ABS(Data!E56-Data!C19))=ABS(Data!F56-Data!C19),Data!F56,IF(MIN(ABS(Data!F56-Data!C19),ABS(Data!E56-Data!C19))=ABS(Data!E56-Data!C19),Data!E56,""))))</f>
        <v/>
      </c>
      <c r="F20" s="20">
        <f t="shared" si="5"/>
        <v>1</v>
      </c>
      <c r="G20" s="20">
        <f t="shared" si="6"/>
        <v>1</v>
      </c>
      <c r="H20" s="18" t="str">
        <f>IF(ISBLANK(Data!D19),"",Data!D19)</f>
        <v/>
      </c>
      <c r="I20" s="19"/>
      <c r="J20" s="19" t="str">
        <f>IF(ISBLANK(Data!F56),"",IF(Data!F56=Data!G56,Data!F56,IF(MIN(ABS(Data!F56-Data!E19),ABS(Data!G56-Data!E19))=ABS(Data!F56-Data!E19),Data!F56,IF(MIN(ABS(Data!F56-Data!E19),ABS(Data!G56-Data!E19))=ABS(Data!G56-Data!E19),Data!G56,""))))</f>
        <v/>
      </c>
      <c r="K20" s="20">
        <f t="shared" si="7"/>
        <v>1</v>
      </c>
      <c r="L20" s="20">
        <f t="shared" si="8"/>
        <v>1</v>
      </c>
      <c r="M20" s="18" t="str">
        <f>IF(ISBLANK(Data!E19),"",Data!E19)</f>
        <v/>
      </c>
      <c r="N20" s="19" t="str">
        <f>IF(ISBLANK(Data!C57),"",IF(Data!C57=Data!D57,Data!C57,IF(MIN(ABS(Data!C57-Data!E19),ABS(Data!D57-Data!E19))=ABS(Data!C57-Data!E19),Data!C57,IF(MIN(ABS(Data!C57-Data!E19),ABS(Data!D57-Data!E19))=ABS(Data!D57-Data!E19),Data!D57,""))))</f>
        <v/>
      </c>
      <c r="O20" s="19" t="str">
        <f>IF(ISBLANK(Data!G56),"",IF(Data!G56=Data!F56,Data!G56,IF(MIN(ABS(Data!G56-Data!E19),ABS(Data!F56-Data!E19))=ABS(Data!G56-Data!E19),Data!G56,IF(MIN(ABS(Data!G56-Data!E19),ABS(Data!F56-Data!E19))=ABS(Data!F56-Data!E19),Data!F56,""))))</f>
        <v/>
      </c>
      <c r="P20" s="20">
        <f t="shared" si="9"/>
        <v>1</v>
      </c>
      <c r="Q20" s="20">
        <f t="shared" si="10"/>
        <v>1</v>
      </c>
      <c r="R20" s="18" t="str">
        <f>IF(ISBLANK(Data!F19),"",Data!F19)</f>
        <v/>
      </c>
      <c r="S20" s="19" t="str">
        <f>IF(ISBLANK(Data!C57),"",IF(Data!C57=Data!D57,Data!C57,IF(MIN(ABS(Data!C57-Data!E19),ABS(Data!D57-Data!E19))=ABS(Data!C57-Data!E19),Data!C57,IF(MIN(ABS(Data!C57-Data!E19),ABS(Data!D57-Data!E19))=ABS(Data!D57-Data!E19),Data!D57,""))))</f>
        <v/>
      </c>
      <c r="T20" s="19" t="str">
        <f>IF(ISBLANK(Data!G56),"",IF(Data!G56=Data!G56,Data!G56,IF(MIN(ABS(Data!G56-Data!F19),ABS(Data!G56-Data!F19))=ABS(Data!G56-Data!F19),Data!G56,IF(MIN(ABS(Data!G56-Data!F19),ABS(Data!G56-Data!F19))=ABS(Data!G56-Data!F19),Data!G56,""))))</f>
        <v/>
      </c>
      <c r="U20" s="20">
        <f t="shared" si="11"/>
        <v>1</v>
      </c>
      <c r="V20" s="20">
        <f t="shared" si="12"/>
        <v>1</v>
      </c>
      <c r="W20" s="21">
        <f t="shared" si="0"/>
        <v>1</v>
      </c>
      <c r="X20" s="21">
        <f t="shared" si="1"/>
        <v>1</v>
      </c>
      <c r="Y20" s="28">
        <f t="shared" si="2"/>
        <v>1</v>
      </c>
      <c r="Z20" s="29">
        <f t="shared" si="3"/>
        <v>1</v>
      </c>
    </row>
    <row r="21" spans="2:26" s="5" customFormat="1" ht="14.1" customHeight="1" x14ac:dyDescent="0.25">
      <c r="B21" s="17">
        <f t="shared" si="4"/>
        <v>15</v>
      </c>
      <c r="C21" s="18" t="str">
        <f>IF(ISBLANK(Data!C20),"",Data!C20)</f>
        <v/>
      </c>
      <c r="D21" s="19"/>
      <c r="E21" s="19" t="str">
        <f>IF(ISBLANK(Data!F57),"",IF(Data!F57=Data!E57,Data!F57,IF(MIN(ABS(Data!F57-Data!C20),ABS(Data!E57-Data!C20))=ABS(Data!F57-Data!C20),Data!F57,IF(MIN(ABS(Data!F57-Data!C20),ABS(Data!E57-Data!C20))=ABS(Data!E57-Data!C20),Data!E57,""))))</f>
        <v/>
      </c>
      <c r="F21" s="20">
        <f t="shared" si="5"/>
        <v>1</v>
      </c>
      <c r="G21" s="20">
        <f t="shared" si="6"/>
        <v>1</v>
      </c>
      <c r="H21" s="18" t="str">
        <f>IF(ISBLANK(Data!D20),"",Data!D20)</f>
        <v/>
      </c>
      <c r="I21" s="19"/>
      <c r="J21" s="19" t="str">
        <f>IF(ISBLANK(Data!F57),"",IF(Data!F57=Data!G57,Data!F57,IF(MIN(ABS(Data!F57-Data!E20),ABS(Data!G57-Data!E20))=ABS(Data!F57-Data!E20),Data!F57,IF(MIN(ABS(Data!F57-Data!E20),ABS(Data!G57-Data!E20))=ABS(Data!G57-Data!E20),Data!G57,""))))</f>
        <v/>
      </c>
      <c r="K21" s="20">
        <f t="shared" si="7"/>
        <v>1</v>
      </c>
      <c r="L21" s="20">
        <f t="shared" si="8"/>
        <v>1</v>
      </c>
      <c r="M21" s="18" t="str">
        <f>IF(ISBLANK(Data!E20),"",Data!E20)</f>
        <v/>
      </c>
      <c r="N21" s="19" t="str">
        <f>IF(ISBLANK(Data!C58),"",IF(Data!C58=Data!D58,Data!C58,IF(MIN(ABS(Data!C58-Data!E20),ABS(Data!D58-Data!E20))=ABS(Data!C58-Data!E20),Data!C58,IF(MIN(ABS(Data!C58-Data!E20),ABS(Data!D58-Data!E20))=ABS(Data!D58-Data!E20),Data!D58,""))))</f>
        <v/>
      </c>
      <c r="O21" s="19" t="str">
        <f>IF(ISBLANK(Data!G57),"",IF(Data!G57=Data!F57,Data!G57,IF(MIN(ABS(Data!G57-Data!E20),ABS(Data!F57-Data!E20))=ABS(Data!G57-Data!E20),Data!G57,IF(MIN(ABS(Data!G57-Data!E20),ABS(Data!F57-Data!E20))=ABS(Data!F57-Data!E20),Data!F57,""))))</f>
        <v/>
      </c>
      <c r="P21" s="20">
        <f t="shared" si="9"/>
        <v>1</v>
      </c>
      <c r="Q21" s="20">
        <f t="shared" si="10"/>
        <v>1</v>
      </c>
      <c r="R21" s="18" t="str">
        <f>IF(ISBLANK(Data!F20),"",Data!F20)</f>
        <v/>
      </c>
      <c r="S21" s="19" t="str">
        <f>IF(ISBLANK(Data!C58),"",IF(Data!C58=Data!D58,Data!C58,IF(MIN(ABS(Data!C58-Data!E20),ABS(Data!D58-Data!E20))=ABS(Data!C58-Data!E20),Data!C58,IF(MIN(ABS(Data!C58-Data!E20),ABS(Data!D58-Data!E20))=ABS(Data!D58-Data!E20),Data!D58,""))))</f>
        <v/>
      </c>
      <c r="T21" s="19" t="str">
        <f>IF(ISBLANK(Data!G57),"",IF(Data!G57=Data!G57,Data!G57,IF(MIN(ABS(Data!G57-Data!F20),ABS(Data!G57-Data!F20))=ABS(Data!G57-Data!F20),Data!G57,IF(MIN(ABS(Data!G57-Data!F20),ABS(Data!G57-Data!F20))=ABS(Data!G57-Data!F20),Data!G57,""))))</f>
        <v/>
      </c>
      <c r="U21" s="20">
        <f t="shared" si="11"/>
        <v>1</v>
      </c>
      <c r="V21" s="20">
        <f t="shared" si="12"/>
        <v>1</v>
      </c>
      <c r="W21" s="21">
        <f>AVERAGE(F21,K21,P21,U21)</f>
        <v>1</v>
      </c>
      <c r="X21" s="21">
        <f t="shared" si="1"/>
        <v>1</v>
      </c>
      <c r="Y21" s="28">
        <f t="shared" si="2"/>
        <v>1</v>
      </c>
      <c r="Z21" s="29">
        <f t="shared" si="3"/>
        <v>1</v>
      </c>
    </row>
    <row r="22" spans="2:26" s="5" customFormat="1" ht="14.1" customHeight="1" x14ac:dyDescent="0.25">
      <c r="B22" s="17">
        <f t="shared" si="4"/>
        <v>16</v>
      </c>
      <c r="C22" s="18" t="str">
        <f>IF(ISBLANK(Data!C21),"",Data!C21)</f>
        <v/>
      </c>
      <c r="D22" s="19"/>
      <c r="E22" s="19" t="str">
        <f>IF(ISBLANK(Data!F58),"",IF(Data!F58=Data!E58,Data!F58,IF(MIN(ABS(Data!F58-Data!C21),ABS(Data!E58-Data!C21))=ABS(Data!F58-Data!C21),Data!F58,IF(MIN(ABS(Data!F58-Data!C21),ABS(Data!E58-Data!C21))=ABS(Data!E58-Data!C21),Data!E58,""))))</f>
        <v/>
      </c>
      <c r="F22" s="20">
        <f t="shared" si="5"/>
        <v>1</v>
      </c>
      <c r="G22" s="20">
        <f t="shared" si="6"/>
        <v>1</v>
      </c>
      <c r="H22" s="18" t="str">
        <f>IF(ISBLANK(Data!D21),"",Data!D21)</f>
        <v/>
      </c>
      <c r="I22" s="19"/>
      <c r="J22" s="19" t="str">
        <f>IF(ISBLANK(Data!F58),"",IF(Data!F58=Data!G58,Data!F58,IF(MIN(ABS(Data!F58-Data!E21),ABS(Data!G58-Data!E21))=ABS(Data!F58-Data!E21),Data!F58,IF(MIN(ABS(Data!F58-Data!E21),ABS(Data!G58-Data!E21))=ABS(Data!G58-Data!E21),Data!G58,""))))</f>
        <v/>
      </c>
      <c r="K22" s="20">
        <f t="shared" si="7"/>
        <v>1</v>
      </c>
      <c r="L22" s="20">
        <f t="shared" si="8"/>
        <v>1</v>
      </c>
      <c r="M22" s="18" t="str">
        <f>IF(ISBLANK(Data!E21),"",Data!E21)</f>
        <v/>
      </c>
      <c r="N22" s="19" t="str">
        <f>IF(ISBLANK(Data!C59),"",IF(Data!C59=Data!D59,Data!C59,IF(MIN(ABS(Data!C59-Data!E21),ABS(Data!D59-Data!E21))=ABS(Data!C59-Data!E21),Data!C59,IF(MIN(ABS(Data!C59-Data!E21),ABS(Data!D59-Data!E21))=ABS(Data!D59-Data!E21),Data!D59,""))))</f>
        <v/>
      </c>
      <c r="O22" s="19" t="str">
        <f>IF(ISBLANK(Data!G58),"",IF(Data!G58=Data!F58,Data!G58,IF(MIN(ABS(Data!G58-Data!E21),ABS(Data!F58-Data!E21))=ABS(Data!G58-Data!E21),Data!G58,IF(MIN(ABS(Data!G58-Data!E21),ABS(Data!F58-Data!E21))=ABS(Data!F58-Data!E21),Data!F58,""))))</f>
        <v/>
      </c>
      <c r="P22" s="20">
        <f t="shared" si="9"/>
        <v>1</v>
      </c>
      <c r="Q22" s="20">
        <f t="shared" si="10"/>
        <v>1</v>
      </c>
      <c r="R22" s="18" t="str">
        <f>IF(ISBLANK(Data!F21),"",Data!F21)</f>
        <v/>
      </c>
      <c r="S22" s="19" t="str">
        <f>IF(ISBLANK(Data!C59),"",IF(Data!C59=Data!D59,Data!C59,IF(MIN(ABS(Data!C59-Data!E21),ABS(Data!D59-Data!E21))=ABS(Data!C59-Data!E21),Data!C59,IF(MIN(ABS(Data!C59-Data!E21),ABS(Data!D59-Data!E21))=ABS(Data!D59-Data!E21),Data!D59,""))))</f>
        <v/>
      </c>
      <c r="T22" s="19" t="str">
        <f>IF(ISBLANK(Data!G58),"",IF(Data!G58=Data!G58,Data!G58,IF(MIN(ABS(Data!G58-Data!F21),ABS(Data!G58-Data!F21))=ABS(Data!G58-Data!F21),Data!G58,IF(MIN(ABS(Data!G58-Data!F21),ABS(Data!G58-Data!F21))=ABS(Data!G58-Data!F21),Data!G58,""))))</f>
        <v/>
      </c>
      <c r="U22" s="20">
        <f t="shared" si="11"/>
        <v>1</v>
      </c>
      <c r="V22" s="20">
        <f t="shared" si="12"/>
        <v>1</v>
      </c>
      <c r="W22" s="21">
        <f t="shared" si="0"/>
        <v>1</v>
      </c>
      <c r="X22" s="21">
        <f t="shared" si="1"/>
        <v>1</v>
      </c>
      <c r="Y22" s="28">
        <f t="shared" si="2"/>
        <v>1</v>
      </c>
      <c r="Z22" s="29">
        <f t="shared" si="3"/>
        <v>1</v>
      </c>
    </row>
    <row r="23" spans="2:26" s="5" customFormat="1" ht="14.1" customHeight="1" x14ac:dyDescent="0.25">
      <c r="B23" s="17">
        <f t="shared" si="4"/>
        <v>17</v>
      </c>
      <c r="C23" s="18" t="str">
        <f>IF(ISBLANK(Data!C22),"",Data!C22)</f>
        <v/>
      </c>
      <c r="D23" s="19"/>
      <c r="E23" s="19" t="str">
        <f>IF(ISBLANK(Data!F59),"",IF(Data!F59=Data!E59,Data!F59,IF(MIN(ABS(Data!F59-Data!C22),ABS(Data!E59-Data!C22))=ABS(Data!F59-Data!C22),Data!F59,IF(MIN(ABS(Data!F59-Data!C22),ABS(Data!E59-Data!C22))=ABS(Data!E59-Data!C22),Data!E59,""))))</f>
        <v/>
      </c>
      <c r="F23" s="20">
        <f t="shared" si="5"/>
        <v>1</v>
      </c>
      <c r="G23" s="20">
        <f t="shared" si="6"/>
        <v>1</v>
      </c>
      <c r="H23" s="18" t="str">
        <f>IF(ISBLANK(Data!D22),"",Data!D22)</f>
        <v/>
      </c>
      <c r="I23" s="19"/>
      <c r="J23" s="19" t="str">
        <f>IF(ISBLANK(Data!F59),"",IF(Data!F59=Data!G59,Data!F59,IF(MIN(ABS(Data!F59-Data!E22),ABS(Data!G59-Data!E22))=ABS(Data!F59-Data!E22),Data!F59,IF(MIN(ABS(Data!F59-Data!E22),ABS(Data!G59-Data!E22))=ABS(Data!G59-Data!E22),Data!G59,""))))</f>
        <v/>
      </c>
      <c r="K23" s="20">
        <f t="shared" si="7"/>
        <v>1</v>
      </c>
      <c r="L23" s="20">
        <f t="shared" si="8"/>
        <v>1</v>
      </c>
      <c r="M23" s="18" t="str">
        <f>IF(ISBLANK(Data!E22),"",Data!E22)</f>
        <v/>
      </c>
      <c r="N23" s="19" t="str">
        <f>IF(ISBLANK(Data!C60),"",IF(Data!C60=Data!D60,Data!C60,IF(MIN(ABS(Data!C60-Data!E22),ABS(Data!D60-Data!E22))=ABS(Data!C60-Data!E22),Data!C60,IF(MIN(ABS(Data!C60-Data!E22),ABS(Data!D60-Data!E22))=ABS(Data!D60-Data!E22),Data!D60,""))))</f>
        <v/>
      </c>
      <c r="O23" s="19" t="str">
        <f>IF(ISBLANK(Data!G59),"",IF(Data!G59=Data!F59,Data!G59,IF(MIN(ABS(Data!G59-Data!E22),ABS(Data!F59-Data!E22))=ABS(Data!G59-Data!E22),Data!G59,IF(MIN(ABS(Data!G59-Data!E22),ABS(Data!F59-Data!E22))=ABS(Data!F59-Data!E22),Data!F59,""))))</f>
        <v/>
      </c>
      <c r="P23" s="20">
        <f t="shared" si="9"/>
        <v>1</v>
      </c>
      <c r="Q23" s="20">
        <f t="shared" si="10"/>
        <v>1</v>
      </c>
      <c r="R23" s="18" t="str">
        <f>IF(ISBLANK(Data!F22),"",Data!F22)</f>
        <v/>
      </c>
      <c r="S23" s="19" t="str">
        <f>IF(ISBLANK(Data!C60),"",IF(Data!C60=Data!D60,Data!C60,IF(MIN(ABS(Data!C60-Data!E22),ABS(Data!D60-Data!E22))=ABS(Data!C60-Data!E22),Data!C60,IF(MIN(ABS(Data!C60-Data!E22),ABS(Data!D60-Data!E22))=ABS(Data!D60-Data!E22),Data!D60,""))))</f>
        <v/>
      </c>
      <c r="T23" s="19" t="str">
        <f>IF(ISBLANK(Data!G59),"",IF(Data!G59=Data!G59,Data!G59,IF(MIN(ABS(Data!G59-Data!F22),ABS(Data!G59-Data!F22))=ABS(Data!G59-Data!F22),Data!G59,IF(MIN(ABS(Data!G59-Data!F22),ABS(Data!G59-Data!F22))=ABS(Data!G59-Data!F22),Data!G59,""))))</f>
        <v/>
      </c>
      <c r="U23" s="20">
        <f t="shared" si="11"/>
        <v>1</v>
      </c>
      <c r="V23" s="20">
        <f t="shared" si="12"/>
        <v>1</v>
      </c>
      <c r="W23" s="21">
        <f t="shared" si="0"/>
        <v>1</v>
      </c>
      <c r="X23" s="21">
        <f t="shared" si="1"/>
        <v>1</v>
      </c>
      <c r="Y23" s="28">
        <f t="shared" si="2"/>
        <v>1</v>
      </c>
      <c r="Z23" s="29">
        <f t="shared" si="3"/>
        <v>1</v>
      </c>
    </row>
    <row r="24" spans="2:26" s="5" customFormat="1" ht="14.1" customHeight="1" x14ac:dyDescent="0.25">
      <c r="B24" s="17">
        <f t="shared" si="4"/>
        <v>18</v>
      </c>
      <c r="C24" s="18" t="str">
        <f>IF(ISBLANK(Data!C23),"",Data!C23)</f>
        <v/>
      </c>
      <c r="D24" s="19"/>
      <c r="E24" s="19" t="str">
        <f>IF(ISBLANK(Data!F60),"",IF(Data!F60=Data!E60,Data!F60,IF(MIN(ABS(Data!F60-Data!C23),ABS(Data!E60-Data!C23))=ABS(Data!F60-Data!C23),Data!F60,IF(MIN(ABS(Data!F60-Data!C23),ABS(Data!E60-Data!C23))=ABS(Data!E60-Data!C23),Data!E60,""))))</f>
        <v/>
      </c>
      <c r="F24" s="20">
        <f t="shared" si="5"/>
        <v>1</v>
      </c>
      <c r="G24" s="20">
        <f t="shared" si="6"/>
        <v>1</v>
      </c>
      <c r="H24" s="18" t="str">
        <f>IF(ISBLANK(Data!D23),"",Data!D23)</f>
        <v/>
      </c>
      <c r="I24" s="19"/>
      <c r="J24" s="19" t="str">
        <f>IF(ISBLANK(Data!F60),"",IF(Data!F60=Data!G60,Data!F60,IF(MIN(ABS(Data!F60-Data!E23),ABS(Data!G60-Data!E23))=ABS(Data!F60-Data!E23),Data!F60,IF(MIN(ABS(Data!F60-Data!E23),ABS(Data!G60-Data!E23))=ABS(Data!G60-Data!E23),Data!G60,""))))</f>
        <v/>
      </c>
      <c r="K24" s="20">
        <f t="shared" si="7"/>
        <v>1</v>
      </c>
      <c r="L24" s="20">
        <f t="shared" si="8"/>
        <v>1</v>
      </c>
      <c r="M24" s="18" t="str">
        <f>IF(ISBLANK(Data!E23),"",Data!E23)</f>
        <v/>
      </c>
      <c r="N24" s="19" t="str">
        <f>IF(ISBLANK(Data!C61),"",IF(Data!C61=Data!D61,Data!C61,IF(MIN(ABS(Data!C61-Data!E23),ABS(Data!D61-Data!E23))=ABS(Data!C61-Data!E23),Data!C61,IF(MIN(ABS(Data!C61-Data!E23),ABS(Data!D61-Data!E23))=ABS(Data!D61-Data!E23),Data!D61,""))))</f>
        <v/>
      </c>
      <c r="O24" s="19" t="str">
        <f>IF(ISBLANK(Data!G60),"",IF(Data!G60=Data!F60,Data!G60,IF(MIN(ABS(Data!G60-Data!E23),ABS(Data!F60-Data!E23))=ABS(Data!G60-Data!E23),Data!G60,IF(MIN(ABS(Data!G60-Data!E23),ABS(Data!F60-Data!E23))=ABS(Data!F60-Data!E23),Data!F60,""))))</f>
        <v/>
      </c>
      <c r="P24" s="20">
        <f t="shared" si="9"/>
        <v>1</v>
      </c>
      <c r="Q24" s="20">
        <f t="shared" si="10"/>
        <v>1</v>
      </c>
      <c r="R24" s="18" t="str">
        <f>IF(ISBLANK(Data!F23),"",Data!F23)</f>
        <v/>
      </c>
      <c r="S24" s="19" t="str">
        <f>IF(ISBLANK(Data!C61),"",IF(Data!C61=Data!D61,Data!C61,IF(MIN(ABS(Data!C61-Data!E23),ABS(Data!D61-Data!E23))=ABS(Data!C61-Data!E23),Data!C61,IF(MIN(ABS(Data!C61-Data!E23),ABS(Data!D61-Data!E23))=ABS(Data!D61-Data!E23),Data!D61,""))))</f>
        <v/>
      </c>
      <c r="T24" s="19" t="str">
        <f>IF(ISBLANK(Data!G60),"",IF(Data!G60=Data!G60,Data!G60,IF(MIN(ABS(Data!G60-Data!F23),ABS(Data!G60-Data!F23))=ABS(Data!G60-Data!F23),Data!G60,IF(MIN(ABS(Data!G60-Data!F23),ABS(Data!G60-Data!F23))=ABS(Data!G60-Data!F23),Data!G60,""))))</f>
        <v/>
      </c>
      <c r="U24" s="20">
        <f t="shared" si="11"/>
        <v>1</v>
      </c>
      <c r="V24" s="20">
        <f t="shared" si="12"/>
        <v>1</v>
      </c>
      <c r="W24" s="21">
        <f t="shared" si="0"/>
        <v>1</v>
      </c>
      <c r="X24" s="21">
        <f t="shared" si="1"/>
        <v>1</v>
      </c>
      <c r="Y24" s="28">
        <f t="shared" si="2"/>
        <v>1</v>
      </c>
      <c r="Z24" s="29">
        <f t="shared" si="3"/>
        <v>1</v>
      </c>
    </row>
    <row r="25" spans="2:26" s="5" customFormat="1" ht="14.1" customHeight="1" x14ac:dyDescent="0.25">
      <c r="B25" s="17">
        <f t="shared" si="4"/>
        <v>19</v>
      </c>
      <c r="C25" s="18" t="str">
        <f>IF(ISBLANK(Data!C24),"",Data!C24)</f>
        <v/>
      </c>
      <c r="D25" s="19"/>
      <c r="E25" s="19" t="str">
        <f>IF(ISBLANK(Data!F61),"",IF(Data!F61=Data!E61,Data!F61,IF(MIN(ABS(Data!F61-Data!C24),ABS(Data!E61-Data!C24))=ABS(Data!F61-Data!C24),Data!F61,IF(MIN(ABS(Data!F61-Data!C24),ABS(Data!E61-Data!C24))=ABS(Data!E61-Data!C24),Data!E61,""))))</f>
        <v/>
      </c>
      <c r="F25" s="20">
        <f t="shared" si="5"/>
        <v>1</v>
      </c>
      <c r="G25" s="20">
        <f t="shared" si="6"/>
        <v>1</v>
      </c>
      <c r="H25" s="18" t="str">
        <f>IF(ISBLANK(Data!D24),"",Data!D24)</f>
        <v/>
      </c>
      <c r="I25" s="19"/>
      <c r="J25" s="19" t="str">
        <f>IF(ISBLANK(Data!F61),"",IF(Data!F61=Data!G61,Data!F61,IF(MIN(ABS(Data!F61-Data!E24),ABS(Data!G61-Data!E24))=ABS(Data!F61-Data!E24),Data!F61,IF(MIN(ABS(Data!F61-Data!E24),ABS(Data!G61-Data!E24))=ABS(Data!G61-Data!E24),Data!G61,""))))</f>
        <v/>
      </c>
      <c r="K25" s="20">
        <f t="shared" si="7"/>
        <v>1</v>
      </c>
      <c r="L25" s="20">
        <f t="shared" si="8"/>
        <v>1</v>
      </c>
      <c r="M25" s="18" t="str">
        <f>IF(ISBLANK(Data!E24),"",Data!E24)</f>
        <v/>
      </c>
      <c r="N25" s="19" t="str">
        <f>IF(ISBLANK(Data!C62),"",IF(Data!C62=Data!D62,Data!C62,IF(MIN(ABS(Data!C62-Data!E24),ABS(Data!D62-Data!E24))=ABS(Data!C62-Data!E24),Data!C62,IF(MIN(ABS(Data!C62-Data!E24),ABS(Data!D62-Data!E24))=ABS(Data!D62-Data!E24),Data!D62,""))))</f>
        <v/>
      </c>
      <c r="O25" s="19" t="str">
        <f>IF(ISBLANK(Data!G61),"",IF(Data!G61=Data!F61,Data!G61,IF(MIN(ABS(Data!G61-Data!E24),ABS(Data!F61-Data!E24))=ABS(Data!G61-Data!E24),Data!G61,IF(MIN(ABS(Data!G61-Data!E24),ABS(Data!F61-Data!E24))=ABS(Data!F61-Data!E24),Data!F61,""))))</f>
        <v/>
      </c>
      <c r="P25" s="20">
        <f t="shared" si="9"/>
        <v>1</v>
      </c>
      <c r="Q25" s="20">
        <f t="shared" si="10"/>
        <v>1</v>
      </c>
      <c r="R25" s="18" t="str">
        <f>IF(ISBLANK(Data!F24),"",Data!F24)</f>
        <v/>
      </c>
      <c r="S25" s="19" t="str">
        <f>IF(ISBLANK(Data!C62),"",IF(Data!C62=Data!D62,Data!C62,IF(MIN(ABS(Data!C62-Data!E24),ABS(Data!D62-Data!E24))=ABS(Data!C62-Data!E24),Data!C62,IF(MIN(ABS(Data!C62-Data!E24),ABS(Data!D62-Data!E24))=ABS(Data!D62-Data!E24),Data!D62,""))))</f>
        <v/>
      </c>
      <c r="T25" s="19" t="str">
        <f>IF(ISBLANK(Data!G61),"",IF(Data!G61=Data!G61,Data!G61,IF(MIN(ABS(Data!G61-Data!F24),ABS(Data!G61-Data!F24))=ABS(Data!G61-Data!F24),Data!G61,IF(MIN(ABS(Data!G61-Data!F24),ABS(Data!G61-Data!F24))=ABS(Data!G61-Data!F24),Data!G61,""))))</f>
        <v/>
      </c>
      <c r="U25" s="20">
        <f t="shared" si="11"/>
        <v>1</v>
      </c>
      <c r="V25" s="20">
        <f t="shared" si="12"/>
        <v>1</v>
      </c>
      <c r="W25" s="21">
        <f t="shared" si="0"/>
        <v>1</v>
      </c>
      <c r="X25" s="21">
        <f t="shared" si="1"/>
        <v>1</v>
      </c>
      <c r="Y25" s="28">
        <f t="shared" si="2"/>
        <v>1</v>
      </c>
      <c r="Z25" s="29">
        <f t="shared" si="3"/>
        <v>1</v>
      </c>
    </row>
    <row r="26" spans="2:26" s="5" customFormat="1" ht="14.1" customHeight="1" x14ac:dyDescent="0.25">
      <c r="B26" s="17">
        <f t="shared" si="4"/>
        <v>20</v>
      </c>
      <c r="C26" s="18" t="str">
        <f>IF(ISBLANK(Data!C25),"",Data!C25)</f>
        <v/>
      </c>
      <c r="D26" s="19"/>
      <c r="E26" s="19" t="str">
        <f>IF(ISBLANK(Data!F62),"",IF(Data!F62=Data!E62,Data!F62,IF(MIN(ABS(Data!F62-Data!C25),ABS(Data!E62-Data!C25))=ABS(Data!F62-Data!C25),Data!F62,IF(MIN(ABS(Data!F62-Data!C25),ABS(Data!E62-Data!C25))=ABS(Data!E62-Data!C25),Data!E62,""))))</f>
        <v/>
      </c>
      <c r="F26" s="20">
        <f t="shared" si="5"/>
        <v>1</v>
      </c>
      <c r="G26" s="20">
        <f t="shared" si="6"/>
        <v>1</v>
      </c>
      <c r="H26" s="18" t="str">
        <f>IF(ISBLANK(Data!D25),"",Data!D25)</f>
        <v/>
      </c>
      <c r="I26" s="19"/>
      <c r="J26" s="19" t="str">
        <f>IF(ISBLANK(Data!F62),"",IF(Data!F62=Data!G62,Data!F62,IF(MIN(ABS(Data!F62-Data!E25),ABS(Data!G62-Data!E25))=ABS(Data!F62-Data!E25),Data!F62,IF(MIN(ABS(Data!F62-Data!E25),ABS(Data!G62-Data!E25))=ABS(Data!G62-Data!E25),Data!G62,""))))</f>
        <v/>
      </c>
      <c r="K26" s="20">
        <f t="shared" si="7"/>
        <v>1</v>
      </c>
      <c r="L26" s="20">
        <f t="shared" si="8"/>
        <v>1</v>
      </c>
      <c r="M26" s="18" t="str">
        <f>IF(ISBLANK(Data!E25),"",Data!E25)</f>
        <v/>
      </c>
      <c r="N26" s="19" t="str">
        <f>IF(ISBLANK(Data!C63),"",IF(Data!C63=Data!D63,Data!C63,IF(MIN(ABS(Data!C63-Data!E25),ABS(Data!D63-Data!E25))=ABS(Data!C63-Data!E25),Data!C63,IF(MIN(ABS(Data!C63-Data!E25),ABS(Data!D63-Data!E25))=ABS(Data!D63-Data!E25),Data!D63,""))))</f>
        <v/>
      </c>
      <c r="O26" s="19" t="str">
        <f>IF(ISBLANK(Data!G62),"",IF(Data!G62=Data!F62,Data!G62,IF(MIN(ABS(Data!G62-Data!E25),ABS(Data!F62-Data!E25))=ABS(Data!G62-Data!E25),Data!G62,IF(MIN(ABS(Data!G62-Data!E25),ABS(Data!F62-Data!E25))=ABS(Data!F62-Data!E25),Data!F62,""))))</f>
        <v/>
      </c>
      <c r="P26" s="20">
        <f t="shared" si="9"/>
        <v>1</v>
      </c>
      <c r="Q26" s="20">
        <f t="shared" si="10"/>
        <v>1</v>
      </c>
      <c r="R26" s="18" t="str">
        <f>IF(ISBLANK(Data!F25),"",Data!F25)</f>
        <v/>
      </c>
      <c r="S26" s="19" t="str">
        <f>IF(ISBLANK(Data!C63),"",IF(Data!C63=Data!D63,Data!C63,IF(MIN(ABS(Data!C63-Data!E25),ABS(Data!D63-Data!E25))=ABS(Data!C63-Data!E25),Data!C63,IF(MIN(ABS(Data!C63-Data!E25),ABS(Data!D63-Data!E25))=ABS(Data!D63-Data!E25),Data!D63,""))))</f>
        <v/>
      </c>
      <c r="T26" s="19" t="str">
        <f>IF(ISBLANK(Data!G62),"",IF(Data!G62=Data!G62,Data!G62,IF(MIN(ABS(Data!G62-Data!F25),ABS(Data!G62-Data!F25))=ABS(Data!G62-Data!F25),Data!G62,IF(MIN(ABS(Data!G62-Data!F25),ABS(Data!G62-Data!F25))=ABS(Data!G62-Data!F25),Data!G62,""))))</f>
        <v/>
      </c>
      <c r="U26" s="20">
        <f t="shared" si="11"/>
        <v>1</v>
      </c>
      <c r="V26" s="20">
        <f t="shared" si="12"/>
        <v>1</v>
      </c>
      <c r="W26" s="21">
        <f t="shared" si="0"/>
        <v>1</v>
      </c>
      <c r="X26" s="21">
        <f t="shared" si="1"/>
        <v>1</v>
      </c>
      <c r="Y26" s="28">
        <f t="shared" si="2"/>
        <v>1</v>
      </c>
      <c r="Z26" s="29">
        <f t="shared" si="3"/>
        <v>1</v>
      </c>
    </row>
    <row r="27" spans="2:26" s="5" customFormat="1" ht="14.1" customHeight="1" x14ac:dyDescent="0.25">
      <c r="B27" s="17">
        <f t="shared" si="4"/>
        <v>21</v>
      </c>
      <c r="C27" s="18" t="str">
        <f>IF(ISBLANK(Data!C26),"",Data!C26)</f>
        <v/>
      </c>
      <c r="D27" s="19"/>
      <c r="E27" s="19" t="str">
        <f>IF(ISBLANK(Data!F63),"",IF(Data!F63=Data!E63,Data!F63,IF(MIN(ABS(Data!F63-Data!C26),ABS(Data!E63-Data!C26))=ABS(Data!F63-Data!C26),Data!F63,IF(MIN(ABS(Data!F63-Data!C26),ABS(Data!E63-Data!C26))=ABS(Data!E63-Data!C26),Data!E63,""))))</f>
        <v/>
      </c>
      <c r="F27" s="20">
        <f t="shared" si="5"/>
        <v>1</v>
      </c>
      <c r="G27" s="20">
        <f t="shared" si="6"/>
        <v>1</v>
      </c>
      <c r="H27" s="18" t="str">
        <f>IF(ISBLANK(Data!D26),"",Data!D26)</f>
        <v/>
      </c>
      <c r="I27" s="19"/>
      <c r="J27" s="19" t="str">
        <f>IF(ISBLANK(Data!F63),"",IF(Data!F63=Data!G63,Data!F63,IF(MIN(ABS(Data!F63-Data!E26),ABS(Data!G63-Data!E26))=ABS(Data!F63-Data!E26),Data!F63,IF(MIN(ABS(Data!F63-Data!E26),ABS(Data!G63-Data!E26))=ABS(Data!G63-Data!E26),Data!G63,""))))</f>
        <v/>
      </c>
      <c r="K27" s="20">
        <f t="shared" si="7"/>
        <v>1</v>
      </c>
      <c r="L27" s="20">
        <f t="shared" si="8"/>
        <v>1</v>
      </c>
      <c r="M27" s="18" t="str">
        <f>IF(ISBLANK(Data!E26),"",Data!E26)</f>
        <v/>
      </c>
      <c r="N27" s="19" t="str">
        <f>IF(ISBLANK(Data!C64),"",IF(Data!C64=Data!D64,Data!C64,IF(MIN(ABS(Data!C64-Data!E26),ABS(Data!D64-Data!E26))=ABS(Data!C64-Data!E26),Data!C64,IF(MIN(ABS(Data!C64-Data!E26),ABS(Data!D64-Data!E26))=ABS(Data!D64-Data!E26),Data!D64,""))))</f>
        <v/>
      </c>
      <c r="O27" s="19" t="str">
        <f>IF(ISBLANK(Data!G63),"",IF(Data!G63=Data!F63,Data!G63,IF(MIN(ABS(Data!G63-Data!E26),ABS(Data!F63-Data!E26))=ABS(Data!G63-Data!E26),Data!G63,IF(MIN(ABS(Data!G63-Data!E26),ABS(Data!F63-Data!E26))=ABS(Data!F63-Data!E26),Data!F63,""))))</f>
        <v/>
      </c>
      <c r="P27" s="20">
        <f t="shared" si="9"/>
        <v>1</v>
      </c>
      <c r="Q27" s="20">
        <f t="shared" si="10"/>
        <v>1</v>
      </c>
      <c r="R27" s="18" t="str">
        <f>IF(ISBLANK(Data!F26),"",Data!F26)</f>
        <v/>
      </c>
      <c r="S27" s="19" t="str">
        <f>IF(ISBLANK(Data!C64),"",IF(Data!C64=Data!D64,Data!C64,IF(MIN(ABS(Data!C64-Data!E26),ABS(Data!D64-Data!E26))=ABS(Data!C64-Data!E26),Data!C64,IF(MIN(ABS(Data!C64-Data!E26),ABS(Data!D64-Data!E26))=ABS(Data!D64-Data!E26),Data!D64,""))))</f>
        <v/>
      </c>
      <c r="T27" s="19" t="str">
        <f>IF(ISBLANK(Data!G63),"",IF(Data!G63=Data!G63,Data!G63,IF(MIN(ABS(Data!G63-Data!F26),ABS(Data!G63-Data!F26))=ABS(Data!G63-Data!F26),Data!G63,IF(MIN(ABS(Data!G63-Data!F26),ABS(Data!G63-Data!F26))=ABS(Data!G63-Data!F26),Data!G63,""))))</f>
        <v/>
      </c>
      <c r="U27" s="20">
        <f t="shared" si="11"/>
        <v>1</v>
      </c>
      <c r="V27" s="20">
        <f t="shared" si="12"/>
        <v>1</v>
      </c>
      <c r="W27" s="21">
        <f t="shared" si="0"/>
        <v>1</v>
      </c>
      <c r="X27" s="21">
        <f t="shared" si="1"/>
        <v>1</v>
      </c>
      <c r="Y27" s="28">
        <f t="shared" si="2"/>
        <v>1</v>
      </c>
      <c r="Z27" s="29">
        <f t="shared" si="3"/>
        <v>1</v>
      </c>
    </row>
    <row r="28" spans="2:26" s="5" customFormat="1" ht="14.1" customHeight="1" x14ac:dyDescent="0.25">
      <c r="B28" s="17">
        <f t="shared" si="4"/>
        <v>22</v>
      </c>
      <c r="C28" s="18" t="str">
        <f>IF(ISBLANK(Data!C27),"",Data!C27)</f>
        <v/>
      </c>
      <c r="D28" s="19"/>
      <c r="E28" s="19" t="str">
        <f>IF(ISBLANK(Data!F64),"",IF(Data!F64=Data!E64,Data!F64,IF(MIN(ABS(Data!F64-Data!C27),ABS(Data!E64-Data!C27))=ABS(Data!F64-Data!C27),Data!F64,IF(MIN(ABS(Data!F64-Data!C27),ABS(Data!E64-Data!C27))=ABS(Data!E64-Data!C27),Data!E64,""))))</f>
        <v/>
      </c>
      <c r="F28" s="20">
        <f t="shared" si="5"/>
        <v>1</v>
      </c>
      <c r="G28" s="20">
        <f t="shared" si="6"/>
        <v>1</v>
      </c>
      <c r="H28" s="18" t="str">
        <f>IF(ISBLANK(Data!D27),"",Data!D27)</f>
        <v/>
      </c>
      <c r="I28" s="19"/>
      <c r="J28" s="19" t="str">
        <f>IF(ISBLANK(Data!F64),"",IF(Data!F64=Data!G64,Data!F64,IF(MIN(ABS(Data!F64-Data!E27),ABS(Data!G64-Data!E27))=ABS(Data!F64-Data!E27),Data!F64,IF(MIN(ABS(Data!F64-Data!E27),ABS(Data!G64-Data!E27))=ABS(Data!G64-Data!E27),Data!G64,""))))</f>
        <v/>
      </c>
      <c r="K28" s="20">
        <f t="shared" si="7"/>
        <v>1</v>
      </c>
      <c r="L28" s="20">
        <f t="shared" si="8"/>
        <v>1</v>
      </c>
      <c r="M28" s="18" t="str">
        <f>IF(ISBLANK(Data!E27),"",Data!E27)</f>
        <v/>
      </c>
      <c r="N28" s="19" t="str">
        <f>IF(ISBLANK(Data!C65),"",IF(Data!C65=Data!D65,Data!C65,IF(MIN(ABS(Data!C65-Data!E27),ABS(Data!D65-Data!E27))=ABS(Data!C65-Data!E27),Data!C65,IF(MIN(ABS(Data!C65-Data!E27),ABS(Data!D65-Data!E27))=ABS(Data!D65-Data!E27),Data!D65,""))))</f>
        <v/>
      </c>
      <c r="O28" s="19" t="str">
        <f>IF(ISBLANK(Data!G64),"",IF(Data!G64=Data!F64,Data!G64,IF(MIN(ABS(Data!G64-Data!E27),ABS(Data!F64-Data!E27))=ABS(Data!G64-Data!E27),Data!G64,IF(MIN(ABS(Data!G64-Data!E27),ABS(Data!F64-Data!E27))=ABS(Data!F64-Data!E27),Data!F64,""))))</f>
        <v/>
      </c>
      <c r="P28" s="20">
        <f t="shared" si="9"/>
        <v>1</v>
      </c>
      <c r="Q28" s="20">
        <f t="shared" si="10"/>
        <v>1</v>
      </c>
      <c r="R28" s="18" t="str">
        <f>IF(ISBLANK(Data!F27),"",Data!F27)</f>
        <v/>
      </c>
      <c r="S28" s="19" t="str">
        <f>IF(ISBLANK(Data!C65),"",IF(Data!C65=Data!D65,Data!C65,IF(MIN(ABS(Data!C65-Data!E27),ABS(Data!D65-Data!E27))=ABS(Data!C65-Data!E27),Data!C65,IF(MIN(ABS(Data!C65-Data!E27),ABS(Data!D65-Data!E27))=ABS(Data!D65-Data!E27),Data!D65,""))))</f>
        <v/>
      </c>
      <c r="T28" s="19" t="str">
        <f>IF(ISBLANK(Data!G64),"",IF(Data!G64=Data!G64,Data!G64,IF(MIN(ABS(Data!G64-Data!F27),ABS(Data!G64-Data!F27))=ABS(Data!G64-Data!F27),Data!G64,IF(MIN(ABS(Data!G64-Data!F27),ABS(Data!G64-Data!F27))=ABS(Data!G64-Data!F27),Data!G64,""))))</f>
        <v/>
      </c>
      <c r="U28" s="20">
        <f t="shared" si="11"/>
        <v>1</v>
      </c>
      <c r="V28" s="20">
        <f t="shared" si="12"/>
        <v>1</v>
      </c>
      <c r="W28" s="21">
        <f t="shared" si="0"/>
        <v>1</v>
      </c>
      <c r="X28" s="21">
        <f t="shared" si="1"/>
        <v>1</v>
      </c>
      <c r="Y28" s="28">
        <f t="shared" si="2"/>
        <v>1</v>
      </c>
      <c r="Z28" s="29">
        <f t="shared" si="3"/>
        <v>1</v>
      </c>
    </row>
    <row r="29" spans="2:26" s="5" customFormat="1" ht="14.1" customHeight="1" x14ac:dyDescent="0.25">
      <c r="B29" s="17">
        <f t="shared" si="4"/>
        <v>23</v>
      </c>
      <c r="C29" s="18" t="str">
        <f>IF(ISBLANK(Data!C28),"",Data!C28)</f>
        <v/>
      </c>
      <c r="D29" s="19"/>
      <c r="E29" s="19" t="str">
        <f>IF(ISBLANK(Data!F65),"",IF(Data!F65=Data!E65,Data!F65,IF(MIN(ABS(Data!F65-Data!C28),ABS(Data!E65-Data!C28))=ABS(Data!F65-Data!C28),Data!F65,IF(MIN(ABS(Data!F65-Data!C28),ABS(Data!E65-Data!C28))=ABS(Data!E65-Data!C28),Data!E65,""))))</f>
        <v/>
      </c>
      <c r="F29" s="20">
        <f t="shared" si="5"/>
        <v>1</v>
      </c>
      <c r="G29" s="20">
        <f t="shared" si="6"/>
        <v>1</v>
      </c>
      <c r="H29" s="18" t="str">
        <f>IF(ISBLANK(Data!D28),"",Data!D28)</f>
        <v/>
      </c>
      <c r="I29" s="19"/>
      <c r="J29" s="19" t="str">
        <f>IF(ISBLANK(Data!F65),"",IF(Data!F65=Data!G65,Data!F65,IF(MIN(ABS(Data!F65-Data!E28),ABS(Data!G65-Data!E28))=ABS(Data!F65-Data!E28),Data!F65,IF(MIN(ABS(Data!F65-Data!E28),ABS(Data!G65-Data!E28))=ABS(Data!G65-Data!E28),Data!G65,""))))</f>
        <v/>
      </c>
      <c r="K29" s="20">
        <f t="shared" si="7"/>
        <v>1</v>
      </c>
      <c r="L29" s="20">
        <f t="shared" si="8"/>
        <v>1</v>
      </c>
      <c r="M29" s="18" t="str">
        <f>IF(ISBLANK(Data!E28),"",Data!E28)</f>
        <v/>
      </c>
      <c r="N29" s="19" t="str">
        <f>IF(ISBLANK(Data!C66),"",IF(Data!C66=Data!D66,Data!C66,IF(MIN(ABS(Data!C66-Data!E28),ABS(Data!D66-Data!E28))=ABS(Data!C66-Data!E28),Data!C66,IF(MIN(ABS(Data!C66-Data!E28),ABS(Data!D66-Data!E28))=ABS(Data!D66-Data!E28),Data!D66,""))))</f>
        <v/>
      </c>
      <c r="O29" s="19" t="str">
        <f>IF(ISBLANK(Data!G65),"",IF(Data!G65=Data!F65,Data!G65,IF(MIN(ABS(Data!G65-Data!E28),ABS(Data!F65-Data!E28))=ABS(Data!G65-Data!E28),Data!G65,IF(MIN(ABS(Data!G65-Data!E28),ABS(Data!F65-Data!E28))=ABS(Data!F65-Data!E28),Data!F65,""))))</f>
        <v/>
      </c>
      <c r="P29" s="20">
        <f t="shared" si="9"/>
        <v>1</v>
      </c>
      <c r="Q29" s="20">
        <f t="shared" si="10"/>
        <v>1</v>
      </c>
      <c r="R29" s="18" t="str">
        <f>IF(ISBLANK(Data!F28),"",Data!F28)</f>
        <v/>
      </c>
      <c r="S29" s="19" t="str">
        <f>IF(ISBLANK(Data!C66),"",IF(Data!C66=Data!D66,Data!C66,IF(MIN(ABS(Data!C66-Data!E28),ABS(Data!D66-Data!E28))=ABS(Data!C66-Data!E28),Data!C66,IF(MIN(ABS(Data!C66-Data!E28),ABS(Data!D66-Data!E28))=ABS(Data!D66-Data!E28),Data!D66,""))))</f>
        <v/>
      </c>
      <c r="T29" s="19" t="str">
        <f>IF(ISBLANK(Data!G65),"",IF(Data!G65=Data!G65,Data!G65,IF(MIN(ABS(Data!G65-Data!F28),ABS(Data!G65-Data!F28))=ABS(Data!G65-Data!F28),Data!G65,IF(MIN(ABS(Data!G65-Data!F28),ABS(Data!G65-Data!F28))=ABS(Data!G65-Data!F28),Data!G65,""))))</f>
        <v/>
      </c>
      <c r="U29" s="20">
        <f t="shared" si="11"/>
        <v>1</v>
      </c>
      <c r="V29" s="20">
        <f t="shared" si="12"/>
        <v>1</v>
      </c>
      <c r="W29" s="21">
        <f t="shared" si="0"/>
        <v>1</v>
      </c>
      <c r="X29" s="21">
        <f t="shared" si="1"/>
        <v>1</v>
      </c>
      <c r="Y29" s="28">
        <f t="shared" si="2"/>
        <v>1</v>
      </c>
      <c r="Z29" s="29">
        <f t="shared" si="3"/>
        <v>1</v>
      </c>
    </row>
    <row r="30" spans="2:26" s="5" customFormat="1" ht="14.1" customHeight="1" x14ac:dyDescent="0.25">
      <c r="B30" s="17">
        <f t="shared" si="4"/>
        <v>24</v>
      </c>
      <c r="C30" s="18" t="str">
        <f>IF(ISBLANK(Data!C29),"",Data!C29)</f>
        <v/>
      </c>
      <c r="D30" s="19"/>
      <c r="E30" s="19" t="str">
        <f>IF(ISBLANK(Data!F66),"",IF(Data!F66=Data!E66,Data!F66,IF(MIN(ABS(Data!F66-Data!C29),ABS(Data!E66-Data!C29))=ABS(Data!F66-Data!C29),Data!F66,IF(MIN(ABS(Data!F66-Data!C29),ABS(Data!E66-Data!C29))=ABS(Data!E66-Data!C29),Data!E66,""))))</f>
        <v/>
      </c>
      <c r="F30" s="20">
        <f t="shared" si="5"/>
        <v>1</v>
      </c>
      <c r="G30" s="20">
        <f t="shared" si="6"/>
        <v>1</v>
      </c>
      <c r="H30" s="18" t="str">
        <f>IF(ISBLANK(Data!D29),"",Data!D29)</f>
        <v/>
      </c>
      <c r="I30" s="19"/>
      <c r="J30" s="19" t="str">
        <f>IF(ISBLANK(Data!F66),"",IF(Data!F66=Data!G66,Data!F66,IF(MIN(ABS(Data!F66-Data!E29),ABS(Data!G66-Data!E29))=ABS(Data!F66-Data!E29),Data!F66,IF(MIN(ABS(Data!F66-Data!E29),ABS(Data!G66-Data!E29))=ABS(Data!G66-Data!E29),Data!G66,""))))</f>
        <v/>
      </c>
      <c r="K30" s="20">
        <f t="shared" si="7"/>
        <v>1</v>
      </c>
      <c r="L30" s="20">
        <f t="shared" si="8"/>
        <v>1</v>
      </c>
      <c r="M30" s="18" t="str">
        <f>IF(ISBLANK(Data!E29),"",Data!E29)</f>
        <v/>
      </c>
      <c r="N30" s="19" t="str">
        <f>IF(ISBLANK(Data!C67),"",IF(Data!C67=Data!D67,Data!C67,IF(MIN(ABS(Data!C67-Data!E29),ABS(Data!D67-Data!E29))=ABS(Data!C67-Data!E29),Data!C67,IF(MIN(ABS(Data!C67-Data!E29),ABS(Data!D67-Data!E29))=ABS(Data!D67-Data!E29),Data!D67,""))))</f>
        <v/>
      </c>
      <c r="O30" s="19" t="str">
        <f>IF(ISBLANK(Data!G66),"",IF(Data!G66=Data!F66,Data!G66,IF(MIN(ABS(Data!G66-Data!E29),ABS(Data!F66-Data!E29))=ABS(Data!G66-Data!E29),Data!G66,IF(MIN(ABS(Data!G66-Data!E29),ABS(Data!F66-Data!E29))=ABS(Data!F66-Data!E29),Data!F66,""))))</f>
        <v/>
      </c>
      <c r="P30" s="20">
        <f t="shared" si="9"/>
        <v>1</v>
      </c>
      <c r="Q30" s="20">
        <f t="shared" si="10"/>
        <v>1</v>
      </c>
      <c r="R30" s="18" t="str">
        <f>IF(ISBLANK(Data!F29),"",Data!F29)</f>
        <v/>
      </c>
      <c r="S30" s="19" t="str">
        <f>IF(ISBLANK(Data!C67),"",IF(Data!C67=Data!D67,Data!C67,IF(MIN(ABS(Data!C67-Data!E29),ABS(Data!D67-Data!E29))=ABS(Data!C67-Data!E29),Data!C67,IF(MIN(ABS(Data!C67-Data!E29),ABS(Data!D67-Data!E29))=ABS(Data!D67-Data!E29),Data!D67,""))))</f>
        <v/>
      </c>
      <c r="T30" s="19" t="str">
        <f>IF(ISBLANK(Data!G66),"",IF(Data!G66=Data!G66,Data!G66,IF(MIN(ABS(Data!G66-Data!F29),ABS(Data!G66-Data!F29))=ABS(Data!G66-Data!F29),Data!G66,IF(MIN(ABS(Data!G66-Data!F29),ABS(Data!G66-Data!F29))=ABS(Data!G66-Data!F29),Data!G66,""))))</f>
        <v/>
      </c>
      <c r="U30" s="20">
        <f t="shared" si="11"/>
        <v>1</v>
      </c>
      <c r="V30" s="20">
        <f t="shared" si="12"/>
        <v>1</v>
      </c>
      <c r="W30" s="21">
        <f t="shared" si="0"/>
        <v>1</v>
      </c>
      <c r="X30" s="21">
        <f t="shared" si="1"/>
        <v>1</v>
      </c>
      <c r="Y30" s="28">
        <f t="shared" si="2"/>
        <v>1</v>
      </c>
      <c r="Z30" s="29">
        <f t="shared" si="3"/>
        <v>1</v>
      </c>
    </row>
    <row r="31" spans="2:26" s="5" customFormat="1" ht="14.1" customHeight="1" x14ac:dyDescent="0.25">
      <c r="B31" s="17">
        <f t="shared" si="4"/>
        <v>25</v>
      </c>
      <c r="C31" s="18" t="str">
        <f>IF(ISBLANK(Data!C30),"",Data!C30)</f>
        <v/>
      </c>
      <c r="D31" s="19"/>
      <c r="E31" s="19" t="str">
        <f>IF(ISBLANK(Data!F67),"",IF(Data!F67=Data!E67,Data!F67,IF(MIN(ABS(Data!F67-Data!C30),ABS(Data!E67-Data!C30))=ABS(Data!F67-Data!C30),Data!F67,IF(MIN(ABS(Data!F67-Data!C30),ABS(Data!E67-Data!C30))=ABS(Data!E67-Data!C30),Data!E67,""))))</f>
        <v/>
      </c>
      <c r="F31" s="20">
        <f t="shared" si="5"/>
        <v>1</v>
      </c>
      <c r="G31" s="20">
        <f t="shared" si="6"/>
        <v>1</v>
      </c>
      <c r="H31" s="18" t="str">
        <f>IF(ISBLANK(Data!D30),"",Data!D30)</f>
        <v/>
      </c>
      <c r="I31" s="19"/>
      <c r="J31" s="19" t="str">
        <f>IF(ISBLANK(Data!F67),"",IF(Data!F67=Data!G67,Data!F67,IF(MIN(ABS(Data!F67-Data!E30),ABS(Data!G67-Data!E30))=ABS(Data!F67-Data!E30),Data!F67,IF(MIN(ABS(Data!F67-Data!E30),ABS(Data!G67-Data!E30))=ABS(Data!G67-Data!E30),Data!G67,""))))</f>
        <v/>
      </c>
      <c r="K31" s="20">
        <f t="shared" si="7"/>
        <v>1</v>
      </c>
      <c r="L31" s="20">
        <f t="shared" si="8"/>
        <v>1</v>
      </c>
      <c r="M31" s="18" t="str">
        <f>IF(ISBLANK(Data!E30),"",Data!E30)</f>
        <v/>
      </c>
      <c r="N31" s="19" t="str">
        <f>IF(ISBLANK(Data!C68),"",IF(Data!C68=Data!D68,Data!C68,IF(MIN(ABS(Data!C68-Data!E30),ABS(Data!D68-Data!E30))=ABS(Data!C68-Data!E30),Data!C68,IF(MIN(ABS(Data!C68-Data!E30),ABS(Data!D68-Data!E30))=ABS(Data!D68-Data!E30),Data!D68,""))))</f>
        <v/>
      </c>
      <c r="O31" s="19" t="str">
        <f>IF(ISBLANK(Data!G67),"",IF(Data!G67=Data!F67,Data!G67,IF(MIN(ABS(Data!G67-Data!E30),ABS(Data!F67-Data!E30))=ABS(Data!G67-Data!E30),Data!G67,IF(MIN(ABS(Data!G67-Data!E30),ABS(Data!F67-Data!E30))=ABS(Data!F67-Data!E30),Data!F67,""))))</f>
        <v/>
      </c>
      <c r="P31" s="20">
        <f t="shared" si="9"/>
        <v>1</v>
      </c>
      <c r="Q31" s="20">
        <f t="shared" si="10"/>
        <v>1</v>
      </c>
      <c r="R31" s="18" t="str">
        <f>IF(ISBLANK(Data!F30),"",Data!F30)</f>
        <v/>
      </c>
      <c r="S31" s="19" t="str">
        <f>IF(ISBLANK(Data!C68),"",IF(Data!C68=Data!D68,Data!C68,IF(MIN(ABS(Data!C68-Data!E30),ABS(Data!D68-Data!E30))=ABS(Data!C68-Data!E30),Data!C68,IF(MIN(ABS(Data!C68-Data!E30),ABS(Data!D68-Data!E30))=ABS(Data!D68-Data!E30),Data!D68,""))))</f>
        <v/>
      </c>
      <c r="T31" s="19" t="str">
        <f>IF(ISBLANK(Data!G67),"",IF(Data!G67=Data!G67,Data!G67,IF(MIN(ABS(Data!G67-Data!F30),ABS(Data!G67-Data!F30))=ABS(Data!G67-Data!F30),Data!G67,IF(MIN(ABS(Data!G67-Data!F30),ABS(Data!G67-Data!F30))=ABS(Data!G67-Data!F30),Data!G67,""))))</f>
        <v/>
      </c>
      <c r="U31" s="20">
        <f t="shared" si="11"/>
        <v>1</v>
      </c>
      <c r="V31" s="20">
        <f t="shared" si="12"/>
        <v>1</v>
      </c>
      <c r="W31" s="21">
        <f t="shared" si="0"/>
        <v>1</v>
      </c>
      <c r="X31" s="21">
        <f t="shared" si="1"/>
        <v>1</v>
      </c>
      <c r="Y31" s="28">
        <f t="shared" si="2"/>
        <v>1</v>
      </c>
      <c r="Z31" s="29">
        <f t="shared" si="3"/>
        <v>1</v>
      </c>
    </row>
    <row r="32" spans="2:26" s="5" customFormat="1" ht="14.1" customHeight="1" x14ac:dyDescent="0.25">
      <c r="B32" s="17">
        <f t="shared" si="4"/>
        <v>26</v>
      </c>
      <c r="C32" s="18" t="str">
        <f>IF(ISBLANK(Data!C31),"",Data!C31)</f>
        <v/>
      </c>
      <c r="D32" s="19"/>
      <c r="E32" s="19" t="str">
        <f>IF(ISBLANK(Data!F68),"",IF(Data!F68=Data!E68,Data!F68,IF(MIN(ABS(Data!F68-Data!C31),ABS(Data!E68-Data!C31))=ABS(Data!F68-Data!C31),Data!F68,IF(MIN(ABS(Data!F68-Data!C31),ABS(Data!E68-Data!C31))=ABS(Data!E68-Data!C31),Data!E68,""))))</f>
        <v/>
      </c>
      <c r="F32" s="20">
        <f t="shared" si="5"/>
        <v>1</v>
      </c>
      <c r="G32" s="20">
        <f t="shared" si="6"/>
        <v>1</v>
      </c>
      <c r="H32" s="18" t="str">
        <f>IF(ISBLANK(Data!D31),"",Data!D31)</f>
        <v/>
      </c>
      <c r="I32" s="19"/>
      <c r="J32" s="19" t="str">
        <f>IF(ISBLANK(Data!F68),"",IF(Data!F68=Data!G68,Data!F68,IF(MIN(ABS(Data!F68-Data!E31),ABS(Data!G68-Data!E31))=ABS(Data!F68-Data!E31),Data!F68,IF(MIN(ABS(Data!F68-Data!E31),ABS(Data!G68-Data!E31))=ABS(Data!G68-Data!E31),Data!G68,""))))</f>
        <v/>
      </c>
      <c r="K32" s="20">
        <f t="shared" si="7"/>
        <v>1</v>
      </c>
      <c r="L32" s="20">
        <f t="shared" si="8"/>
        <v>1</v>
      </c>
      <c r="M32" s="18" t="str">
        <f>IF(ISBLANK(Data!E31),"",Data!E31)</f>
        <v/>
      </c>
      <c r="N32" s="19" t="str">
        <f>IF(ISBLANK(Data!C69),"",IF(Data!C69=Data!D69,Data!C69,IF(MIN(ABS(Data!C69-Data!E31),ABS(Data!D69-Data!E31))=ABS(Data!C69-Data!E31),Data!C69,IF(MIN(ABS(Data!C69-Data!E31),ABS(Data!D69-Data!E31))=ABS(Data!D69-Data!E31),Data!D69,""))))</f>
        <v/>
      </c>
      <c r="O32" s="19" t="str">
        <f>IF(ISBLANK(Data!G68),"",IF(Data!G68=Data!F68,Data!G68,IF(MIN(ABS(Data!G68-Data!E31),ABS(Data!F68-Data!E31))=ABS(Data!G68-Data!E31),Data!G68,IF(MIN(ABS(Data!G68-Data!E31),ABS(Data!F68-Data!E31))=ABS(Data!F68-Data!E31),Data!F68,""))))</f>
        <v/>
      </c>
      <c r="P32" s="20">
        <f t="shared" si="9"/>
        <v>1</v>
      </c>
      <c r="Q32" s="20">
        <f t="shared" si="10"/>
        <v>1</v>
      </c>
      <c r="R32" s="18" t="str">
        <f>IF(ISBLANK(Data!F31),"",Data!F31)</f>
        <v/>
      </c>
      <c r="S32" s="19" t="str">
        <f>IF(ISBLANK(Data!C69),"",IF(Data!C69=Data!D69,Data!C69,IF(MIN(ABS(Data!C69-Data!E31),ABS(Data!D69-Data!E31))=ABS(Data!C69-Data!E31),Data!C69,IF(MIN(ABS(Data!C69-Data!E31),ABS(Data!D69-Data!E31))=ABS(Data!D69-Data!E31),Data!D69,""))))</f>
        <v/>
      </c>
      <c r="T32" s="19" t="str">
        <f>IF(ISBLANK(Data!G68),"",IF(Data!G68=Data!G68,Data!G68,IF(MIN(ABS(Data!G68-Data!F31),ABS(Data!G68-Data!F31))=ABS(Data!G68-Data!F31),Data!G68,IF(MIN(ABS(Data!G68-Data!F31),ABS(Data!G68-Data!F31))=ABS(Data!G68-Data!F31),Data!G68,""))))</f>
        <v/>
      </c>
      <c r="U32" s="20">
        <f t="shared" si="11"/>
        <v>1</v>
      </c>
      <c r="V32" s="20">
        <f t="shared" si="12"/>
        <v>1</v>
      </c>
      <c r="W32" s="21">
        <f t="shared" si="0"/>
        <v>1</v>
      </c>
      <c r="X32" s="21">
        <f t="shared" si="1"/>
        <v>1</v>
      </c>
      <c r="Y32" s="28">
        <f t="shared" si="2"/>
        <v>1</v>
      </c>
      <c r="Z32" s="29">
        <f t="shared" si="3"/>
        <v>1</v>
      </c>
    </row>
    <row r="33" spans="2:26" s="5" customFormat="1" ht="14.1" customHeight="1" x14ac:dyDescent="0.25">
      <c r="B33" s="17">
        <f t="shared" si="4"/>
        <v>27</v>
      </c>
      <c r="C33" s="18" t="str">
        <f>IF(ISBLANK(Data!C32),"",Data!C32)</f>
        <v/>
      </c>
      <c r="D33" s="19"/>
      <c r="E33" s="19" t="str">
        <f>IF(ISBLANK(Data!F69),"",IF(Data!F69=Data!E69,Data!F69,IF(MIN(ABS(Data!F69-Data!C32),ABS(Data!E69-Data!C32))=ABS(Data!F69-Data!C32),Data!F69,IF(MIN(ABS(Data!F69-Data!C32),ABS(Data!E69-Data!C32))=ABS(Data!E69-Data!C32),Data!E69,""))))</f>
        <v/>
      </c>
      <c r="F33" s="20">
        <f t="shared" si="5"/>
        <v>1</v>
      </c>
      <c r="G33" s="20">
        <f t="shared" si="6"/>
        <v>1</v>
      </c>
      <c r="H33" s="18" t="str">
        <f>IF(ISBLANK(Data!D32),"",Data!D32)</f>
        <v/>
      </c>
      <c r="I33" s="19"/>
      <c r="J33" s="19" t="str">
        <f>IF(ISBLANK(Data!F69),"",IF(Data!F69=Data!G69,Data!F69,IF(MIN(ABS(Data!F69-Data!E32),ABS(Data!G69-Data!E32))=ABS(Data!F69-Data!E32),Data!F69,IF(MIN(ABS(Data!F69-Data!E32),ABS(Data!G69-Data!E32))=ABS(Data!G69-Data!E32),Data!G69,""))))</f>
        <v/>
      </c>
      <c r="K33" s="20">
        <f t="shared" si="7"/>
        <v>1</v>
      </c>
      <c r="L33" s="20">
        <f t="shared" si="8"/>
        <v>1</v>
      </c>
      <c r="M33" s="18" t="str">
        <f>IF(ISBLANK(Data!E32),"",Data!E32)</f>
        <v/>
      </c>
      <c r="N33" s="19" t="str">
        <f>IF(ISBLANK(Data!C70),"",IF(Data!C70=Data!D70,Data!C70,IF(MIN(ABS(Data!C70-Data!E32),ABS(Data!D70-Data!E32))=ABS(Data!C70-Data!E32),Data!C70,IF(MIN(ABS(Data!C70-Data!E32),ABS(Data!D70-Data!E32))=ABS(Data!D70-Data!E32),Data!D70,""))))</f>
        <v/>
      </c>
      <c r="O33" s="19" t="str">
        <f>IF(ISBLANK(Data!G69),"",IF(Data!G69=Data!F69,Data!G69,IF(MIN(ABS(Data!G69-Data!E32),ABS(Data!F69-Data!E32))=ABS(Data!G69-Data!E32),Data!G69,IF(MIN(ABS(Data!G69-Data!E32),ABS(Data!F69-Data!E32))=ABS(Data!F69-Data!E32),Data!F69,""))))</f>
        <v/>
      </c>
      <c r="P33" s="20">
        <f t="shared" si="9"/>
        <v>1</v>
      </c>
      <c r="Q33" s="20">
        <f t="shared" si="10"/>
        <v>1</v>
      </c>
      <c r="R33" s="18" t="str">
        <f>IF(ISBLANK(Data!F32),"",Data!F32)</f>
        <v/>
      </c>
      <c r="S33" s="19" t="str">
        <f>IF(ISBLANK(Data!C70),"",IF(Data!C70=Data!D70,Data!C70,IF(MIN(ABS(Data!C70-Data!E32),ABS(Data!D70-Data!E32))=ABS(Data!C70-Data!E32),Data!C70,IF(MIN(ABS(Data!C70-Data!E32),ABS(Data!D70-Data!E32))=ABS(Data!D70-Data!E32),Data!D70,""))))</f>
        <v/>
      </c>
      <c r="T33" s="19" t="str">
        <f>IF(ISBLANK(Data!G69),"",IF(Data!G69=Data!G69,Data!G69,IF(MIN(ABS(Data!G69-Data!F32),ABS(Data!G69-Data!F32))=ABS(Data!G69-Data!F32),Data!G69,IF(MIN(ABS(Data!G69-Data!F32),ABS(Data!G69-Data!F32))=ABS(Data!G69-Data!F32),Data!G69,""))))</f>
        <v/>
      </c>
      <c r="U33" s="20">
        <f t="shared" si="11"/>
        <v>1</v>
      </c>
      <c r="V33" s="20">
        <f t="shared" si="12"/>
        <v>1</v>
      </c>
      <c r="W33" s="21">
        <f t="shared" si="0"/>
        <v>1</v>
      </c>
      <c r="X33" s="21">
        <f t="shared" si="1"/>
        <v>1</v>
      </c>
      <c r="Y33" s="28">
        <f t="shared" si="2"/>
        <v>1</v>
      </c>
      <c r="Z33" s="29">
        <f t="shared" si="3"/>
        <v>1</v>
      </c>
    </row>
    <row r="34" spans="2:26" s="5" customFormat="1" ht="14.1" customHeight="1" x14ac:dyDescent="0.25">
      <c r="B34" s="17">
        <f t="shared" si="4"/>
        <v>28</v>
      </c>
      <c r="C34" s="18" t="str">
        <f>IF(ISBLANK(Data!C33),"",Data!C33)</f>
        <v/>
      </c>
      <c r="D34" s="19"/>
      <c r="E34" s="19" t="str">
        <f>IF(ISBLANK(Data!F70),"",IF(Data!F70=Data!E70,Data!F70,IF(MIN(ABS(Data!F70-Data!C33),ABS(Data!E70-Data!C33))=ABS(Data!F70-Data!C33),Data!F70,IF(MIN(ABS(Data!F70-Data!C33),ABS(Data!E70-Data!C33))=ABS(Data!E70-Data!C33),Data!E70,""))))</f>
        <v/>
      </c>
      <c r="F34" s="20">
        <f t="shared" si="5"/>
        <v>1</v>
      </c>
      <c r="G34" s="20">
        <f t="shared" si="6"/>
        <v>1</v>
      </c>
      <c r="H34" s="18" t="str">
        <f>IF(ISBLANK(Data!D33),"",Data!D33)</f>
        <v/>
      </c>
      <c r="I34" s="19"/>
      <c r="J34" s="19" t="str">
        <f>IF(ISBLANK(Data!F70),"",IF(Data!F70=Data!G70,Data!F70,IF(MIN(ABS(Data!F70-Data!E33),ABS(Data!G70-Data!E33))=ABS(Data!F70-Data!E33),Data!F70,IF(MIN(ABS(Data!F70-Data!E33),ABS(Data!G70-Data!E33))=ABS(Data!G70-Data!E33),Data!G70,""))))</f>
        <v/>
      </c>
      <c r="K34" s="20">
        <f t="shared" si="7"/>
        <v>1</v>
      </c>
      <c r="L34" s="20">
        <f t="shared" si="8"/>
        <v>1</v>
      </c>
      <c r="M34" s="18" t="str">
        <f>IF(ISBLANK(Data!E33),"",Data!E33)</f>
        <v/>
      </c>
      <c r="N34" s="19" t="str">
        <f>IF(ISBLANK(Data!C71),"",IF(Data!C71=Data!D71,Data!C71,IF(MIN(ABS(Data!C71-Data!E33),ABS(Data!D71-Data!E33))=ABS(Data!C71-Data!E33),Data!C71,IF(MIN(ABS(Data!C71-Data!E33),ABS(Data!D71-Data!E33))=ABS(Data!D71-Data!E33),Data!D71,""))))</f>
        <v/>
      </c>
      <c r="O34" s="19" t="str">
        <f>IF(ISBLANK(Data!G70),"",IF(Data!G70=Data!F70,Data!G70,IF(MIN(ABS(Data!G70-Data!E33),ABS(Data!F70-Data!E33))=ABS(Data!G70-Data!E33),Data!G70,IF(MIN(ABS(Data!G70-Data!E33),ABS(Data!F70-Data!E33))=ABS(Data!F70-Data!E33),Data!F70,""))))</f>
        <v/>
      </c>
      <c r="P34" s="20">
        <f t="shared" si="9"/>
        <v>1</v>
      </c>
      <c r="Q34" s="20">
        <f t="shared" si="10"/>
        <v>1</v>
      </c>
      <c r="R34" s="18" t="str">
        <f>IF(ISBLANK(Data!F33),"",Data!F33)</f>
        <v/>
      </c>
      <c r="S34" s="19" t="str">
        <f>IF(ISBLANK(Data!C71),"",IF(Data!C71=Data!D71,Data!C71,IF(MIN(ABS(Data!C71-Data!E33),ABS(Data!D71-Data!E33))=ABS(Data!C71-Data!E33),Data!C71,IF(MIN(ABS(Data!C71-Data!E33),ABS(Data!D71-Data!E33))=ABS(Data!D71-Data!E33),Data!D71,""))))</f>
        <v/>
      </c>
      <c r="T34" s="19" t="str">
        <f>IF(ISBLANK(Data!G70),"",IF(Data!G70=Data!G70,Data!G70,IF(MIN(ABS(Data!G70-Data!F33),ABS(Data!G70-Data!F33))=ABS(Data!G70-Data!F33),Data!G70,IF(MIN(ABS(Data!G70-Data!F33),ABS(Data!G70-Data!F33))=ABS(Data!G70-Data!F33),Data!G70,""))))</f>
        <v/>
      </c>
      <c r="U34" s="20">
        <f t="shared" si="11"/>
        <v>1</v>
      </c>
      <c r="V34" s="20">
        <f t="shared" si="12"/>
        <v>1</v>
      </c>
      <c r="W34" s="21">
        <f t="shared" si="0"/>
        <v>1</v>
      </c>
      <c r="X34" s="21">
        <f t="shared" si="1"/>
        <v>1</v>
      </c>
      <c r="Y34" s="28">
        <f t="shared" si="2"/>
        <v>1</v>
      </c>
      <c r="Z34" s="29">
        <f t="shared" si="3"/>
        <v>1</v>
      </c>
    </row>
    <row r="35" spans="2:26" s="5" customFormat="1" ht="14.1" customHeight="1" x14ac:dyDescent="0.25">
      <c r="B35" s="17">
        <f t="shared" si="4"/>
        <v>29</v>
      </c>
      <c r="C35" s="18" t="str">
        <f>IF(ISBLANK(Data!C34),"",Data!C34)</f>
        <v/>
      </c>
      <c r="D35" s="19"/>
      <c r="E35" s="19" t="str">
        <f>IF(ISBLANK(Data!F71),"",IF(Data!F71=Data!E71,Data!F71,IF(MIN(ABS(Data!F71-Data!C34),ABS(Data!E71-Data!C34))=ABS(Data!F71-Data!C34),Data!F71,IF(MIN(ABS(Data!F71-Data!C34),ABS(Data!E71-Data!C34))=ABS(Data!E71-Data!C34),Data!E71,""))))</f>
        <v/>
      </c>
      <c r="F35" s="20">
        <f t="shared" si="5"/>
        <v>1</v>
      </c>
      <c r="G35" s="20">
        <f t="shared" si="6"/>
        <v>1</v>
      </c>
      <c r="H35" s="18" t="str">
        <f>IF(ISBLANK(Data!D34),"",Data!D34)</f>
        <v/>
      </c>
      <c r="I35" s="19"/>
      <c r="J35" s="19" t="str">
        <f>IF(ISBLANK(Data!F71),"",IF(Data!F71=Data!G71,Data!F71,IF(MIN(ABS(Data!F71-Data!E34),ABS(Data!G71-Data!E34))=ABS(Data!F71-Data!E34),Data!F71,IF(MIN(ABS(Data!F71-Data!E34),ABS(Data!G71-Data!E34))=ABS(Data!G71-Data!E34),Data!G71,""))))</f>
        <v/>
      </c>
      <c r="K35" s="20">
        <f t="shared" si="7"/>
        <v>1</v>
      </c>
      <c r="L35" s="20">
        <f t="shared" si="8"/>
        <v>1</v>
      </c>
      <c r="M35" s="18" t="str">
        <f>IF(ISBLANK(Data!E34),"",Data!E34)</f>
        <v/>
      </c>
      <c r="N35" s="19" t="str">
        <f>IF(ISBLANK(Data!C72),"",IF(Data!C72=Data!D72,Data!C72,IF(MIN(ABS(Data!C72-Data!E34),ABS(Data!D72-Data!E34))=ABS(Data!C72-Data!E34),Data!C72,IF(MIN(ABS(Data!C72-Data!E34),ABS(Data!D72-Data!E34))=ABS(Data!D72-Data!E34),Data!D72,""))))</f>
        <v/>
      </c>
      <c r="O35" s="19" t="str">
        <f>IF(ISBLANK(Data!G71),"",IF(Data!G71=Data!F71,Data!G71,IF(MIN(ABS(Data!G71-Data!E34),ABS(Data!F71-Data!E34))=ABS(Data!G71-Data!E34),Data!G71,IF(MIN(ABS(Data!G71-Data!E34),ABS(Data!F71-Data!E34))=ABS(Data!F71-Data!E34),Data!F71,""))))</f>
        <v/>
      </c>
      <c r="P35" s="20">
        <f t="shared" si="9"/>
        <v>1</v>
      </c>
      <c r="Q35" s="20">
        <f t="shared" si="10"/>
        <v>1</v>
      </c>
      <c r="R35" s="18" t="str">
        <f>IF(ISBLANK(Data!F34),"",Data!F34)</f>
        <v/>
      </c>
      <c r="S35" s="19" t="str">
        <f>IF(ISBLANK(Data!C72),"",IF(Data!C72=Data!D72,Data!C72,IF(MIN(ABS(Data!C72-Data!E34),ABS(Data!D72-Data!E34))=ABS(Data!C72-Data!E34),Data!C72,IF(MIN(ABS(Data!C72-Data!E34),ABS(Data!D72-Data!E34))=ABS(Data!D72-Data!E34),Data!D72,""))))</f>
        <v/>
      </c>
      <c r="T35" s="19" t="str">
        <f>IF(ISBLANK(Data!G71),"",IF(Data!G71=Data!G71,Data!G71,IF(MIN(ABS(Data!G71-Data!F34),ABS(Data!G71-Data!F34))=ABS(Data!G71-Data!F34),Data!G71,IF(MIN(ABS(Data!G71-Data!F34),ABS(Data!G71-Data!F34))=ABS(Data!G71-Data!F34),Data!G71,""))))</f>
        <v/>
      </c>
      <c r="U35" s="20">
        <f t="shared" si="11"/>
        <v>1</v>
      </c>
      <c r="V35" s="20">
        <f t="shared" si="12"/>
        <v>1</v>
      </c>
      <c r="W35" s="21">
        <f t="shared" si="0"/>
        <v>1</v>
      </c>
      <c r="X35" s="21">
        <f t="shared" si="1"/>
        <v>1</v>
      </c>
      <c r="Y35" s="28">
        <f t="shared" si="2"/>
        <v>1</v>
      </c>
      <c r="Z35" s="29">
        <f t="shared" si="3"/>
        <v>1</v>
      </c>
    </row>
    <row r="36" spans="2:26" s="5" customFormat="1" ht="14.1" customHeight="1" x14ac:dyDescent="0.25">
      <c r="B36" s="17">
        <f t="shared" si="4"/>
        <v>30</v>
      </c>
      <c r="C36" s="18" t="str">
        <f>IF(ISBLANK(Data!C35),"",Data!C35)</f>
        <v/>
      </c>
      <c r="D36" s="19"/>
      <c r="E36" s="19" t="str">
        <f>IF(ISBLANK(Data!F72),"",IF(Data!F72=Data!E72,Data!F72,IF(MIN(ABS(Data!F72-Data!C35),ABS(Data!E72-Data!C35))=ABS(Data!F72-Data!C35),Data!F72,IF(MIN(ABS(Data!F72-Data!C35),ABS(Data!E72-Data!C35))=ABS(Data!E72-Data!C35),Data!E72,""))))</f>
        <v/>
      </c>
      <c r="F36" s="20">
        <f t="shared" si="5"/>
        <v>1</v>
      </c>
      <c r="G36" s="20">
        <f t="shared" si="6"/>
        <v>1</v>
      </c>
      <c r="H36" s="18" t="str">
        <f>IF(ISBLANK(Data!D35),"",Data!D35)</f>
        <v/>
      </c>
      <c r="I36" s="19"/>
      <c r="J36" s="19" t="str">
        <f>IF(ISBLANK(Data!F72),"",IF(Data!F72=Data!G72,Data!F72,IF(MIN(ABS(Data!F72-Data!E35),ABS(Data!G72-Data!E35))=ABS(Data!F72-Data!E35),Data!F72,IF(MIN(ABS(Data!F72-Data!E35),ABS(Data!G72-Data!E35))=ABS(Data!G72-Data!E35),Data!G72,""))))</f>
        <v/>
      </c>
      <c r="K36" s="20">
        <f t="shared" si="7"/>
        <v>1</v>
      </c>
      <c r="L36" s="20">
        <f t="shared" si="8"/>
        <v>1</v>
      </c>
      <c r="M36" s="18" t="str">
        <f>IF(ISBLANK(Data!E35),"",Data!E35)</f>
        <v/>
      </c>
      <c r="N36" s="19" t="str">
        <f>IF(ISBLANK(Data!C73),"",IF(Data!C73=Data!D73,Data!C73,IF(MIN(ABS(Data!C73-Data!E35),ABS(Data!D73-Data!E35))=ABS(Data!C73-Data!E35),Data!C73,IF(MIN(ABS(Data!C73-Data!E35),ABS(Data!D73-Data!E35))=ABS(Data!D73-Data!E35),Data!D73,""))))</f>
        <v/>
      </c>
      <c r="O36" s="19" t="str">
        <f>IF(ISBLANK(Data!G72),"",IF(Data!G72=Data!F72,Data!G72,IF(MIN(ABS(Data!G72-Data!E35),ABS(Data!F72-Data!E35))=ABS(Data!G72-Data!E35),Data!G72,IF(MIN(ABS(Data!G72-Data!E35),ABS(Data!F72-Data!E35))=ABS(Data!F72-Data!E35),Data!F72,""))))</f>
        <v/>
      </c>
      <c r="P36" s="20">
        <f t="shared" si="9"/>
        <v>1</v>
      </c>
      <c r="Q36" s="20">
        <f t="shared" si="10"/>
        <v>1</v>
      </c>
      <c r="R36" s="18" t="str">
        <f>IF(ISBLANK(Data!F35),"",Data!F35)</f>
        <v/>
      </c>
      <c r="S36" s="19" t="str">
        <f>IF(ISBLANK(Data!C73),"",IF(Data!C73=Data!D73,Data!C73,IF(MIN(ABS(Data!C73-Data!E35),ABS(Data!D73-Data!E35))=ABS(Data!C73-Data!E35),Data!C73,IF(MIN(ABS(Data!C73-Data!E35),ABS(Data!D73-Data!E35))=ABS(Data!D73-Data!E35),Data!D73,""))))</f>
        <v/>
      </c>
      <c r="T36" s="19" t="str">
        <f>IF(ISBLANK(Data!G72),"",IF(Data!G72=Data!G72,Data!G72,IF(MIN(ABS(Data!G72-Data!F35),ABS(Data!G72-Data!F35))=ABS(Data!G72-Data!F35),Data!G72,IF(MIN(ABS(Data!G72-Data!F35),ABS(Data!G72-Data!F35))=ABS(Data!G72-Data!F35),Data!G72,""))))</f>
        <v/>
      </c>
      <c r="U36" s="20">
        <f t="shared" si="11"/>
        <v>1</v>
      </c>
      <c r="V36" s="20">
        <f t="shared" si="12"/>
        <v>1</v>
      </c>
      <c r="W36" s="21">
        <f t="shared" si="0"/>
        <v>1</v>
      </c>
      <c r="X36" s="21">
        <f t="shared" si="1"/>
        <v>1</v>
      </c>
      <c r="Y36" s="28">
        <f t="shared" si="2"/>
        <v>1</v>
      </c>
      <c r="Z36" s="29">
        <f t="shared" si="3"/>
        <v>1</v>
      </c>
    </row>
    <row r="37" spans="2:26" s="5" customFormat="1" ht="14.1" customHeight="1" thickBot="1" x14ac:dyDescent="0.3">
      <c r="B37" s="22">
        <f t="shared" si="4"/>
        <v>31</v>
      </c>
      <c r="C37" s="23" t="str">
        <f>IF(ISBLANK(Data!C36),"",Data!C36)</f>
        <v/>
      </c>
      <c r="D37" s="24"/>
      <c r="E37" s="24" t="str">
        <f>IF(ISBLANK(Data!F73),"",IF(Data!F73=Data!E73,Data!F73,IF(MIN(ABS(Data!F73-Data!C36),ABS(Data!E73-Data!C36))=ABS(Data!F73-Data!C36),Data!F73,IF(MIN(ABS(Data!F73-Data!C36),ABS(Data!E73-Data!C36))=ABS(Data!E73-Data!C36),Data!E73,""))))</f>
        <v/>
      </c>
      <c r="F37" s="25">
        <f t="shared" si="5"/>
        <v>1</v>
      </c>
      <c r="G37" s="25">
        <f t="shared" si="6"/>
        <v>1</v>
      </c>
      <c r="H37" s="23" t="str">
        <f>IF(ISBLANK(Data!D36),"",Data!D36)</f>
        <v/>
      </c>
      <c r="I37" s="24"/>
      <c r="J37" s="24" t="str">
        <f>IF(ISBLANK(Data!F73),"",IF(Data!F73=Data!G73,Data!F73,IF(MIN(ABS(Data!F73-Data!E36),ABS(Data!G73-Data!E36))=ABS(Data!F73-Data!E36),Data!F73,IF(MIN(ABS(Data!F73-Data!E36),ABS(Data!G73-Data!E36))=ABS(Data!G73-Data!E36),Data!G73,""))))</f>
        <v/>
      </c>
      <c r="K37" s="25">
        <f t="shared" si="7"/>
        <v>1</v>
      </c>
      <c r="L37" s="25">
        <f t="shared" si="8"/>
        <v>1</v>
      </c>
      <c r="M37" s="23" t="str">
        <f>IF(ISBLANK(Data!E36),"",Data!E36)</f>
        <v/>
      </c>
      <c r="N37" s="24" t="str">
        <f>IF(ISBLANK(Data!C74),"",IF(Data!C74=Data!D74,Data!C74,IF(MIN(ABS(Data!C74-Data!E36),ABS(Data!D74-Data!E36))=ABS(Data!C74-Data!E36),Data!C74,IF(MIN(ABS(Data!C74-Data!E36),ABS(Data!D74-Data!E36))=ABS(Data!D74-Data!E36),Data!D74,""))))</f>
        <v/>
      </c>
      <c r="O37" s="19" t="str">
        <f>IF(ISBLANK(Data!G73),"",IF(Data!G73=Data!F73,Data!G73,IF(MIN(ABS(Data!G73-Data!E36),ABS(Data!F73-Data!E36))=ABS(Data!G73-Data!E36),Data!G73,IF(MIN(ABS(Data!G73-Data!E36),ABS(Data!F73-Data!E36))=ABS(Data!F73-Data!E36),Data!F73,""))))</f>
        <v/>
      </c>
      <c r="P37" s="25">
        <f t="shared" si="9"/>
        <v>1</v>
      </c>
      <c r="Q37" s="25">
        <f t="shared" si="10"/>
        <v>1</v>
      </c>
      <c r="R37" s="23" t="str">
        <f>IF(ISBLANK(Data!F36),"",Data!F36)</f>
        <v/>
      </c>
      <c r="S37" s="24" t="str">
        <f>IF(ISBLANK(Data!C74),"",IF(Data!C74=Data!D74,Data!C74,IF(MIN(ABS(Data!C74-Data!E36),ABS(Data!D74-Data!E36))=ABS(Data!C74-Data!E36),Data!C74,IF(MIN(ABS(Data!C74-Data!E36),ABS(Data!D74-Data!E36))=ABS(Data!D74-Data!E36),Data!D74,""))))</f>
        <v/>
      </c>
      <c r="T37" s="24" t="str">
        <f>IF(ISBLANK(Data!G73),"",IF(Data!G73=Data!G73,Data!G73,IF(MIN(ABS(Data!G73-Data!F36),ABS(Data!G73-Data!F36))=ABS(Data!G73-Data!F36),Data!G73,IF(MIN(ABS(Data!G73-Data!F36),ABS(Data!G73-Data!F36))=ABS(Data!G73-Data!F36),Data!G73,""))))</f>
        <v/>
      </c>
      <c r="U37" s="25">
        <f t="shared" si="11"/>
        <v>1</v>
      </c>
      <c r="V37" s="25">
        <f t="shared" si="12"/>
        <v>1</v>
      </c>
      <c r="W37" s="26">
        <f t="shared" si="0"/>
        <v>1</v>
      </c>
      <c r="X37" s="26">
        <f t="shared" si="1"/>
        <v>1</v>
      </c>
      <c r="Y37" s="28">
        <f t="shared" si="2"/>
        <v>1</v>
      </c>
      <c r="Z37" s="29">
        <f t="shared" si="3"/>
        <v>1</v>
      </c>
    </row>
    <row r="38" spans="2:26" s="5" customFormat="1" ht="15" customHeight="1" x14ac:dyDescent="0.25"/>
    <row r="39" spans="2:26" s="5" customFormat="1" ht="15" customHeight="1" x14ac:dyDescent="0.25"/>
    <row r="40" spans="2:26" s="5" customFormat="1" ht="15" customHeight="1" x14ac:dyDescent="0.25">
      <c r="K40" s="5" t="str">
        <f>IF(ISBLANK(Data!F43),"",Data!F43)</f>
        <v/>
      </c>
    </row>
    <row r="41" spans="2:26" s="5" customFormat="1" ht="15" customHeight="1" x14ac:dyDescent="0.25"/>
  </sheetData>
  <sheetProtection selectLockedCells="1" selectUnlockedCells="1"/>
  <mergeCells count="13">
    <mergeCell ref="AB5:AB6"/>
    <mergeCell ref="AC5:AC6"/>
    <mergeCell ref="Z5:Z6"/>
    <mergeCell ref="B5:B6"/>
    <mergeCell ref="C5:G5"/>
    <mergeCell ref="H5:L5"/>
    <mergeCell ref="M5:Q5"/>
    <mergeCell ref="R5:V5"/>
    <mergeCell ref="I2:S2"/>
    <mergeCell ref="W5:W6"/>
    <mergeCell ref="X5:X6"/>
    <mergeCell ref="Y5:Y6"/>
    <mergeCell ref="B2:E2"/>
  </mergeCells>
  <conditionalFormatting sqref="Y7:Z37">
    <cfRule type="cellIs" dxfId="447" priority="43" operator="equal">
      <formula>1</formula>
    </cfRule>
    <cfRule type="cellIs" dxfId="446" priority="44" operator="between">
      <formula>0.8</formula>
      <formula>0.999</formula>
    </cfRule>
    <cfRule type="cellIs" dxfId="445" priority="45" operator="between">
      <formula>0.6</formula>
      <formula>0.7999</formula>
    </cfRule>
    <cfRule type="cellIs" dxfId="444" priority="46" operator="between">
      <formula>0.4</formula>
      <formula>0.5999</formula>
    </cfRule>
    <cfRule type="cellIs" dxfId="443" priority="47" operator="between">
      <formula>0.2</formula>
      <formula>0.3999</formula>
    </cfRule>
    <cfRule type="cellIs" dxfId="442" priority="48" operator="between">
      <formula>0</formula>
      <formula>0.1999</formula>
    </cfRule>
  </conditionalFormatting>
  <conditionalFormatting sqref="Y7:Z37">
    <cfRule type="cellIs" dxfId="441" priority="37" operator="equal">
      <formula>1</formula>
    </cfRule>
    <cfRule type="cellIs" dxfId="440" priority="38" operator="between">
      <formula>0.8</formula>
      <formula>0.999</formula>
    </cfRule>
    <cfRule type="cellIs" dxfId="439" priority="39" operator="between">
      <formula>0.6</formula>
      <formula>0.7999</formula>
    </cfRule>
    <cfRule type="cellIs" dxfId="438" priority="40" operator="between">
      <formula>0.4</formula>
      <formula>0.5999</formula>
    </cfRule>
    <cfRule type="cellIs" dxfId="437" priority="41" operator="between">
      <formula>0.2</formula>
      <formula>0.3999</formula>
    </cfRule>
    <cfRule type="cellIs" dxfId="436" priority="42" operator="between">
      <formula>0</formula>
      <formula>0.1999</formula>
    </cfRule>
  </conditionalFormatting>
  <conditionalFormatting sqref="W7:W37">
    <cfRule type="cellIs" dxfId="435" priority="31" operator="equal">
      <formula>""</formula>
    </cfRule>
    <cfRule type="colorScale" priority="33">
      <colorScale>
        <cfvo type="num" val="0"/>
        <cfvo type="percentile" val="0.5"/>
        <cfvo type="num" val="1"/>
        <color theme="0"/>
        <color theme="6" tint="0.59999389629810485"/>
        <color theme="3" tint="0.39997558519241921"/>
      </colorScale>
    </cfRule>
  </conditionalFormatting>
  <conditionalFormatting sqref="W7:W37">
    <cfRule type="containsErrors" dxfId="434" priority="32">
      <formula>ISERROR(W7)</formula>
    </cfRule>
  </conditionalFormatting>
  <conditionalFormatting sqref="X7:X37">
    <cfRule type="cellIs" dxfId="433" priority="25" operator="equal">
      <formula>""</formula>
    </cfRule>
    <cfRule type="colorScale" priority="27">
      <colorScale>
        <cfvo type="num" val="0"/>
        <cfvo type="percentile" val="0.5"/>
        <cfvo type="num" val="1"/>
        <color theme="0"/>
        <color theme="6" tint="0.59999389629810485"/>
        <color theme="3" tint="0.39997558519241921"/>
      </colorScale>
    </cfRule>
  </conditionalFormatting>
  <conditionalFormatting sqref="X7:X37">
    <cfRule type="containsErrors" dxfId="432" priority="26">
      <formula>ISERROR(X7)</formula>
    </cfRule>
  </conditionalFormatting>
  <conditionalFormatting sqref="AB7:AC7">
    <cfRule type="cellIs" dxfId="431" priority="19" operator="equal">
      <formula>1</formula>
    </cfRule>
    <cfRule type="cellIs" dxfId="430" priority="20" operator="between">
      <formula>0.8</formula>
      <formula>0.999</formula>
    </cfRule>
    <cfRule type="cellIs" dxfId="429" priority="21" operator="between">
      <formula>0.6</formula>
      <formula>0.7999</formula>
    </cfRule>
    <cfRule type="cellIs" dxfId="428" priority="22" operator="between">
      <formula>0.4</formula>
      <formula>0.5999</formula>
    </cfRule>
    <cfRule type="cellIs" dxfId="427" priority="23" operator="between">
      <formula>0.2</formula>
      <formula>0.3999</formula>
    </cfRule>
    <cfRule type="cellIs" dxfId="426" priority="24" operator="between">
      <formula>0</formula>
      <formula>0.1999</formula>
    </cfRule>
  </conditionalFormatting>
  <conditionalFormatting sqref="AB7:AC7">
    <cfRule type="cellIs" dxfId="425" priority="13" operator="equal">
      <formula>1</formula>
    </cfRule>
    <cfRule type="cellIs" dxfId="424" priority="14" operator="between">
      <formula>0.8</formula>
      <formula>0.999</formula>
    </cfRule>
    <cfRule type="cellIs" dxfId="423" priority="15" operator="between">
      <formula>0.6</formula>
      <formula>0.7999</formula>
    </cfRule>
    <cfRule type="cellIs" dxfId="422" priority="16" operator="between">
      <formula>0.4</formula>
      <formula>0.5999</formula>
    </cfRule>
    <cfRule type="cellIs" dxfId="421" priority="17" operator="between">
      <formula>0.2</formula>
      <formula>0.3999</formula>
    </cfRule>
    <cfRule type="cellIs" dxfId="420" priority="18" operator="between">
      <formula>0</formula>
      <formula>0.1999</formula>
    </cfRule>
  </conditionalFormatting>
  <conditionalFormatting sqref="C7:E37">
    <cfRule type="cellIs" dxfId="419" priority="12" operator="equal">
      <formula>""</formula>
    </cfRule>
  </conditionalFormatting>
  <conditionalFormatting sqref="H7:H37">
    <cfRule type="cellIs" dxfId="418" priority="11" operator="equal">
      <formula>""</formula>
    </cfRule>
  </conditionalFormatting>
  <conditionalFormatting sqref="M7:M37">
    <cfRule type="cellIs" dxfId="417" priority="10" operator="equal">
      <formula>""</formula>
    </cfRule>
  </conditionalFormatting>
  <conditionalFormatting sqref="R7:R37">
    <cfRule type="cellIs" dxfId="416" priority="8" operator="equal">
      <formula>""</formula>
    </cfRule>
  </conditionalFormatting>
  <conditionalFormatting sqref="I7:J37">
    <cfRule type="cellIs" dxfId="415" priority="3" operator="equal">
      <formula>""</formula>
    </cfRule>
  </conditionalFormatting>
  <conditionalFormatting sqref="N7:O37">
    <cfRule type="cellIs" dxfId="414" priority="2" operator="equal">
      <formula>""</formula>
    </cfRule>
  </conditionalFormatting>
  <conditionalFormatting sqref="S7:T37">
    <cfRule type="cellIs" dxfId="413" priority="1" operator="equal">
      <formula>""</formula>
    </cfRule>
  </conditionalFormatting>
  <dataValidations count="1">
    <dataValidation type="whole" errorStyle="information" allowBlank="1" showInputMessage="1" showErrorMessage="1" errorTitle="Avertissement !!" error="Erreur de saisie, Réessayer !" sqref="M7:O37 H7:J37 C7:E37 R7:T37" xr:uid="{F720DD76-D91E-4890-B0A3-A47786E2DBDD}">
      <formula1>1</formula1>
      <formula2>4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B16A-4F68-49D8-A304-55086BEFB3E1}">
  <dimension ref="B1:AB151"/>
  <sheetViews>
    <sheetView topLeftCell="A55" zoomScaleNormal="100" workbookViewId="0">
      <selection activeCell="O41" sqref="O41"/>
    </sheetView>
  </sheetViews>
  <sheetFormatPr baseColWidth="10" defaultRowHeight="15" x14ac:dyDescent="0.25"/>
  <cols>
    <col min="1" max="2" style="37" width="11.42578125" collapsed="true"/>
    <col min="3" max="23" customWidth="true" style="37" width="7.7109375" collapsed="true"/>
    <col min="24" max="25" customWidth="true" style="37" width="11.7109375" collapsed="true"/>
    <col min="26" max="26" customWidth="true" style="37" width="6.7109375" collapsed="true"/>
    <col min="27" max="28" customWidth="true" style="37" width="15.7109375" collapsed="true"/>
    <col min="29" max="16384" style="37" width="11.42578125" collapsed="true"/>
  </cols>
  <sheetData>
    <row r="1" spans="2:28" ht="15.75" thickBot="1" x14ac:dyDescent="0.3"/>
    <row r="2" spans="2:28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I2" s="290" t="s">
        <v>125</v>
      </c>
      <c r="J2" s="291"/>
      <c r="K2" s="291"/>
      <c r="L2" s="291"/>
      <c r="M2" s="291"/>
      <c r="N2" s="291"/>
      <c r="O2" s="291"/>
      <c r="P2" s="291"/>
      <c r="Q2" s="291"/>
      <c r="R2" s="291"/>
      <c r="S2" s="292"/>
    </row>
    <row r="3" spans="2:28" s="31" customFormat="1" ht="15" customHeight="1" x14ac:dyDescent="0.25">
      <c r="B3" s="33"/>
      <c r="C3" s="33"/>
      <c r="D3" s="33"/>
      <c r="E3" s="33"/>
      <c r="F3" s="32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2:28" ht="15.75" thickBot="1" x14ac:dyDescent="0.3">
      <c r="N4" s="38"/>
      <c r="O4" s="38"/>
      <c r="P4" s="38"/>
      <c r="Q4" s="38"/>
      <c r="R4" s="38"/>
      <c r="S4" s="38"/>
    </row>
    <row r="5" spans="2:28" ht="14.1" customHeight="1" thickBot="1" x14ac:dyDescent="0.3">
      <c r="B5" s="309" t="s">
        <v>5</v>
      </c>
      <c r="C5" s="312" t="s">
        <v>37</v>
      </c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4"/>
    </row>
    <row r="6" spans="2:28" ht="14.1" customHeight="1" thickBot="1" x14ac:dyDescent="0.3">
      <c r="B6" s="310"/>
      <c r="C6" s="315" t="s">
        <v>115</v>
      </c>
      <c r="D6" s="316"/>
      <c r="E6" s="316"/>
      <c r="F6" s="317"/>
      <c r="G6" s="318" t="s">
        <v>116</v>
      </c>
      <c r="H6" s="319"/>
      <c r="I6" s="319"/>
      <c r="J6" s="320"/>
      <c r="K6" s="312" t="s">
        <v>42</v>
      </c>
      <c r="L6" s="313"/>
      <c r="M6" s="313"/>
      <c r="N6" s="313"/>
      <c r="O6" s="313"/>
      <c r="P6" s="313"/>
      <c r="Q6" s="313"/>
      <c r="R6" s="314"/>
      <c r="S6" s="321"/>
      <c r="T6" s="322"/>
      <c r="X6" s="300" t="s">
        <v>32</v>
      </c>
      <c r="Y6" s="300" t="s">
        <v>31</v>
      </c>
      <c r="AA6" s="300" t="s">
        <v>26</v>
      </c>
      <c r="AB6" s="300" t="s">
        <v>25</v>
      </c>
    </row>
    <row r="7" spans="2:28" ht="14.1" customHeight="1" x14ac:dyDescent="0.25">
      <c r="B7" s="310"/>
      <c r="C7" s="323" t="s">
        <v>98</v>
      </c>
      <c r="D7" s="324" t="s">
        <v>24</v>
      </c>
      <c r="E7" s="324" t="s">
        <v>99</v>
      </c>
      <c r="F7" s="325" t="s">
        <v>39</v>
      </c>
      <c r="G7" s="323" t="s">
        <v>98</v>
      </c>
      <c r="H7" s="324" t="s">
        <v>24</v>
      </c>
      <c r="I7" s="324" t="s">
        <v>99</v>
      </c>
      <c r="J7" s="325" t="s">
        <v>39</v>
      </c>
      <c r="K7" s="330" t="s">
        <v>7</v>
      </c>
      <c r="L7" s="331"/>
      <c r="M7" s="330" t="s">
        <v>19</v>
      </c>
      <c r="N7" s="331"/>
      <c r="O7" s="330" t="s">
        <v>8</v>
      </c>
      <c r="P7" s="331"/>
      <c r="Q7" s="318" t="s">
        <v>41</v>
      </c>
      <c r="R7" s="320"/>
      <c r="S7" s="326" t="s">
        <v>33</v>
      </c>
      <c r="T7" s="328" t="s">
        <v>27</v>
      </c>
      <c r="X7" s="333"/>
      <c r="Y7" s="333"/>
      <c r="AA7" s="333"/>
      <c r="AB7" s="333"/>
    </row>
    <row r="8" spans="2:28" ht="14.1" customHeight="1" thickBot="1" x14ac:dyDescent="0.3">
      <c r="B8" s="311"/>
      <c r="C8" s="323"/>
      <c r="D8" s="324"/>
      <c r="E8" s="324"/>
      <c r="F8" s="325"/>
      <c r="G8" s="323"/>
      <c r="H8" s="324"/>
      <c r="I8" s="324"/>
      <c r="J8" s="325"/>
      <c r="K8" s="45" t="s">
        <v>23</v>
      </c>
      <c r="L8" s="46" t="s">
        <v>24</v>
      </c>
      <c r="M8" s="45" t="s">
        <v>23</v>
      </c>
      <c r="N8" s="46" t="s">
        <v>24</v>
      </c>
      <c r="O8" s="45" t="s">
        <v>23</v>
      </c>
      <c r="P8" s="46" t="s">
        <v>24</v>
      </c>
      <c r="Q8" s="47" t="s">
        <v>23</v>
      </c>
      <c r="R8" s="48" t="s">
        <v>39</v>
      </c>
      <c r="S8" s="327"/>
      <c r="T8" s="329"/>
      <c r="X8" s="301"/>
      <c r="Y8" s="301"/>
      <c r="AA8" s="301"/>
      <c r="AB8" s="301"/>
    </row>
    <row r="9" spans="2:28" ht="14.1" customHeight="1" thickBot="1" x14ac:dyDescent="0.3">
      <c r="B9" s="49">
        <v>1</v>
      </c>
      <c r="C9" s="39"/>
      <c r="D9" s="40"/>
      <c r="E9" s="40"/>
      <c r="F9" s="41"/>
      <c r="G9" s="50" t="str">
        <f>IF(ISBLANK(Data!M43),"",Data!M43)</f>
        <v/>
      </c>
      <c r="H9" s="51" t="str">
        <f>IF(ISBLANK(Data!N43),"",IF(Data!N43=2,0,Data!N43))</f>
        <v/>
      </c>
      <c r="I9" s="51" t="str">
        <f>IF(ISBLANK(Data!O43),"",Data!O43)</f>
        <v/>
      </c>
      <c r="J9" s="52" t="str">
        <f>IF(ISBLANK(Data!P43),"",Data!P43)</f>
        <v/>
      </c>
      <c r="K9" s="50" t="str">
        <f>IF(ISBLANK(Data!V83),"",Data!V83)</f>
        <v/>
      </c>
      <c r="L9" s="52" t="str">
        <f>IF(ISBLANK(Data!W83),"",Data!W83)</f>
        <v/>
      </c>
      <c r="M9" s="53" t="str">
        <f>IF(ISBLANK(Data!X83),"",Data!X83)</f>
        <v/>
      </c>
      <c r="N9" s="54" t="str">
        <f>IF(ISBLANK(Data!Y83),"",Data!Y83)</f>
        <v/>
      </c>
      <c r="O9" s="53" t="str">
        <f>IF(ISBLANK(Data!Z83),"",Data!Z83)</f>
        <v/>
      </c>
      <c r="P9" s="54" t="str">
        <f>IF(ISBLANK(Data!AA83),"",Data!AA83)</f>
        <v/>
      </c>
      <c r="Q9" s="55" t="str">
        <f>IF(Data!G6="","",IF(Data!G6=0,1080,Data!G6))</f>
        <v/>
      </c>
      <c r="R9" s="56" t="str">
        <f>IF(ISBLANK(Data!H6),"",Data!H6)</f>
        <v/>
      </c>
      <c r="S9" s="57">
        <f><![CDATA[IF(OR(C9="",E9="",Q9="",C9=1080,E9=1080,Q9=1080),0.5,IF(OR(K9=C9,K9=E9,M9=C9,M9=E9,O9=C9,O9=E9,MIN(ABS(Q9-C9),ABS(360-Q9+E9))<=45),0.5,IF(OR(IF(ISNUMBER(K9),OR(MIN(ABS(K9-C9),ABS(360-K9+C9))<=45,MIN(ABS(K9-E9),ABS(360-K9+E9))<=45),FALSE),IF(ISNUMBER(M9),OR(MIN(ABS(M9-C9),ABS(360-M9+C9))<=45,MIN(ABS(M9-E9),ABS(360-M9+E9))<=45),FALSE),IF(ISNUMBER(O9),OR(MIN(ABS(O9-C9),ABS(360-O9+C9))<=45,MIN(ABS(O9-E9),ABS(360-O9+E9))<=45),FALSE),MIN(ABS(Q9-C9),ABS(360-Q9+C9))<=90,MIN(ABS(Q9-E9),ABS(360-Q9+E9))<=90),0.25,0)))+IF(OR(R9="",D9="",F9=""),0.5,IF(AND(R9>=D9,R9<=F9),0.5,IF(AND(R9>=(D9-5),R9<=(F9+5)),0.25,0)))]]></f>
        <v>1</v>
      </c>
      <c r="T9" s="58">
        <f><![CDATA[IF(OR(G9="",I9="",Q9="",G9=1080,I9=1080,Q9=1080),0.5,IF(OR(K9=G9,K9=I9,M9=G9,M9=I9,O9=G9,O9=I9,MIN(ABS(Q9-G9),ABS(360-Q9+I9))<=45),0.5,IF(OR(IF(ISNUMBER(K9),OR(MIN(ABS(K9-G9),ABS(360-K9+G9))<=45,MIN(ABS(K9-I9),ABS(360-K9+I9))<=45),FALSE),IF(ISNUMBER(M9),OR(MIN(ABS(M9-G9),ABS(360-M9+G9))<=45,MIN(ABS(M9-I9),ABS(360-M9+I9))<=45),FALSE),IF(ISNUMBER(O9),OR(MIN(ABS(O9-G9),ABS(360-O9+G9))<=45,MIN(ABS(O9-I9),ABS(360-O9+I9))<=45),FALSE),MIN(ABS(Q9-G9),ABS(360-Q9+G9))<=90,MIN(ABS(Q9-I9),ABS(360-Q9+I9))<=90),0.25,0)))+IF(OR(R9="",H9="",J9=""),0.5,IF(AND(R9>=H9,R9<=J9),0.5,IF(AND(R9>=(H9-5),R9<=(J9+5)),0.25,0)))]]></f>
        <v>1</v>
      </c>
      <c r="X9" s="16">
        <f t="shared" ref="X9:X39" si="0">AVERAGE(S9,S46,S83,U121)</f>
        <v>1</v>
      </c>
      <c r="Y9" s="16">
        <f t="shared" ref="Y9:Y39" si="1">AVERAGE(T9,T46,T83,V121)</f>
        <v>1</v>
      </c>
      <c r="AA9" s="27">
        <f>AVERAGE(X9:X39)</f>
        <v>1</v>
      </c>
      <c r="AB9" s="27">
        <f>AVERAGE(Y9:Y39)</f>
        <v>1</v>
      </c>
    </row>
    <row r="10" spans="2:28" ht="14.1" customHeight="1" x14ac:dyDescent="0.25">
      <c r="B10" s="59">
        <f t="shared" ref="B10:B39" si="2">B9+1</f>
        <v>2</v>
      </c>
      <c r="C10" s="39"/>
      <c r="D10" s="40"/>
      <c r="E10" s="40"/>
      <c r="F10" s="41"/>
      <c r="G10" s="50" t="str">
        <f>IF(ISBLANK(Data!M44),"",Data!M44)</f>
        <v/>
      </c>
      <c r="H10" s="51" t="str">
        <f>IF(ISBLANK(Data!N44),"",IF(Data!N44=2,0,Data!N44))</f>
        <v/>
      </c>
      <c r="I10" s="51" t="str">
        <f>IF(ISBLANK(Data!O44),"",Data!O44)</f>
        <v/>
      </c>
      <c r="J10" s="52" t="str">
        <f>IF(ISBLANK(Data!P44),"",Data!P44)</f>
        <v/>
      </c>
      <c r="K10" s="50" t="str">
        <f>IF(ISBLANK(Data!V84),"",Data!V84)</f>
        <v/>
      </c>
      <c r="L10" s="52" t="str">
        <f>IF(ISBLANK(Data!W84),"",Data!W84)</f>
        <v/>
      </c>
      <c r="M10" s="53" t="str">
        <f>IF(ISBLANK(Data!X84),"",Data!X84)</f>
        <v/>
      </c>
      <c r="N10" s="54" t="str">
        <f>IF(ISBLANK(Data!Y84),"",Data!Y84)</f>
        <v/>
      </c>
      <c r="O10" s="53" t="str">
        <f>IF(ISBLANK(Data!Z84),"",Data!Z84)</f>
        <v/>
      </c>
      <c r="P10" s="54" t="str">
        <f>IF(ISBLANK(Data!AA84),"",Data!AA84)</f>
        <v/>
      </c>
      <c r="Q10" s="60" t="str">
        <f>IF(Data!G7="","",IF(Data!G7=0,1080,Data!G7))</f>
        <v/>
      </c>
      <c r="R10" s="61" t="str">
        <f>IF(ISBLANK(Data!H7),"",Data!H7)</f>
        <v/>
      </c>
      <c r="S10" s="57">
        <f t="shared" ref="S10:S39" si="3"><![CDATA[IF(OR(C10="",E10="",Q10="",C10=1080,E10=1080,Q10=1080),0.5,IF(OR(K10=C10,K10=E10,M10=C10,M10=E10,O10=C10,O10=E10,MIN(ABS(Q10-C10),ABS(360-Q10+E10))<=45),0.5,IF(OR(IF(ISNUMBER(K10),OR(MIN(ABS(K10-C10),ABS(360-K10+C10))<=45,MIN(ABS(K10-E10),ABS(360-K10+E10))<=45),FALSE),IF(ISNUMBER(M10),OR(MIN(ABS(M10-C10),ABS(360-M10+C10))<=45,MIN(ABS(M10-E10),ABS(360-M10+E10))<=45),FALSE),IF(ISNUMBER(O10),OR(MIN(ABS(O10-C10),ABS(360-O10+C10))<=45,MIN(ABS(O10-E10),ABS(360-O10+E10))<=45),FALSE),MIN(ABS(Q10-C10),ABS(360-Q10+C10))<=90,MIN(ABS(Q10-E10),ABS(360-Q10+E10))<=90),0.25,0)))+IF(OR(R10="",D10="",F10=""),0.5,IF(AND(R10>=D10,R10<=F10),0.5,IF(AND(R10>=(D10-5),R10<=(F10+5)),0.25,0)))]]></f>
        <v>1</v>
      </c>
      <c r="T10" s="58">
        <f t="shared" ref="T10:T39" si="4"><![CDATA[IF(OR(G10="",I10="",Q10="",G10=1080,I10=1080,Q10=1080),0.5,IF(OR(K10=G10,K10=I10,M10=G10,M10=I10,O10=G10,O10=I10,MIN(ABS(Q10-G10),ABS(360-Q10+I10))<=45),0.5,IF(OR(IF(ISNUMBER(K10),OR(MIN(ABS(K10-G10),ABS(360-K10+G10))<=45,MIN(ABS(K10-I10),ABS(360-K10+I10))<=45),FALSE),IF(ISNUMBER(M10),OR(MIN(ABS(M10-G10),ABS(360-M10+G10))<=45,MIN(ABS(M10-I10),ABS(360-M10+I10))<=45),FALSE),IF(ISNUMBER(O10),OR(MIN(ABS(O10-G10),ABS(360-O10+G10))<=45,MIN(ABS(O10-I10),ABS(360-O10+I10))<=45),FALSE),MIN(ABS(Q10-G10),ABS(360-Q10+G10))<=90,MIN(ABS(Q10-I10),ABS(360-Q10+I10))<=90),0.25,0)))+IF(OR(R10="",H10="",J10=""),0.5,IF(AND(R10>=H10,R10<=J10),0.5,IF(AND(R10>=(H10-5),R10<=(J10+5)),0.25,0)))]]></f>
        <v>1</v>
      </c>
      <c r="X10" s="16">
        <f t="shared" si="0"/>
        <v>1</v>
      </c>
      <c r="Y10" s="16">
        <f t="shared" si="1"/>
        <v>1</v>
      </c>
    </row>
    <row r="11" spans="2:28" ht="14.1" customHeight="1" x14ac:dyDescent="0.25">
      <c r="B11" s="59">
        <f t="shared" si="2"/>
        <v>3</v>
      </c>
      <c r="C11" s="39"/>
      <c r="D11" s="40"/>
      <c r="E11" s="40"/>
      <c r="F11" s="41"/>
      <c r="G11" s="50" t="str">
        <f>IF(ISBLANK(Data!M45),"",Data!M45)</f>
        <v/>
      </c>
      <c r="H11" s="51" t="str">
        <f>IF(ISBLANK(Data!N45),"",IF(Data!N45=2,0,Data!N45))</f>
        <v/>
      </c>
      <c r="I11" s="51" t="str">
        <f>IF(ISBLANK(Data!O45),"",Data!O45)</f>
        <v/>
      </c>
      <c r="J11" s="52" t="str">
        <f>IF(ISBLANK(Data!P45),"",Data!P45)</f>
        <v/>
      </c>
      <c r="K11" s="50" t="str">
        <f>IF(ISBLANK(Data!V85),"",Data!V85)</f>
        <v/>
      </c>
      <c r="L11" s="52" t="str">
        <f>IF(ISBLANK(Data!W85),"",Data!W85)</f>
        <v/>
      </c>
      <c r="M11" s="53" t="str">
        <f>IF(ISBLANK(Data!X85),"",Data!X85)</f>
        <v/>
      </c>
      <c r="N11" s="54" t="str">
        <f>IF(ISBLANK(Data!Y85),"",Data!Y85)</f>
        <v/>
      </c>
      <c r="O11" s="53" t="str">
        <f>IF(ISBLANK(Data!Z85),"",Data!Z85)</f>
        <v/>
      </c>
      <c r="P11" s="54" t="str">
        <f>IF(ISBLANK(Data!AA85),"",Data!AA85)</f>
        <v/>
      </c>
      <c r="Q11" s="60" t="str">
        <f>IF(Data!G8="","",IF(Data!G8=0,1080,Data!G8))</f>
        <v/>
      </c>
      <c r="R11" s="61" t="str">
        <f>IF(ISBLANK(Data!H8),"",Data!H8)</f>
        <v/>
      </c>
      <c r="S11" s="57">
        <f t="shared" si="3"/>
        <v>1</v>
      </c>
      <c r="T11" s="58">
        <f t="shared" si="4"/>
        <v>1</v>
      </c>
      <c r="X11" s="16">
        <f t="shared" si="0"/>
        <v>1</v>
      </c>
      <c r="Y11" s="16">
        <f t="shared" si="1"/>
        <v>1</v>
      </c>
    </row>
    <row r="12" spans="2:28" ht="14.1" customHeight="1" x14ac:dyDescent="0.25">
      <c r="B12" s="59">
        <f t="shared" si="2"/>
        <v>4</v>
      </c>
      <c r="C12" s="39"/>
      <c r="D12" s="40"/>
      <c r="E12" s="40"/>
      <c r="F12" s="41"/>
      <c r="G12" s="50" t="str">
        <f>IF(ISBLANK(Data!M46),"",Data!M46)</f>
        <v/>
      </c>
      <c r="H12" s="51" t="str">
        <f>IF(ISBLANK(Data!N46),"",IF(Data!N46=2,0,Data!N46))</f>
        <v/>
      </c>
      <c r="I12" s="51" t="str">
        <f>IF(ISBLANK(Data!O46),"",Data!O46)</f>
        <v/>
      </c>
      <c r="J12" s="52" t="str">
        <f>IF(ISBLANK(Data!P46),"",Data!P46)</f>
        <v/>
      </c>
      <c r="K12" s="50" t="str">
        <f>IF(ISBLANK(Data!V86),"",Data!V86)</f>
        <v/>
      </c>
      <c r="L12" s="52" t="str">
        <f>IF(ISBLANK(Data!W86),"",Data!W86)</f>
        <v/>
      </c>
      <c r="M12" s="53" t="str">
        <f>IF(ISBLANK(Data!X86),"",Data!X86)</f>
        <v/>
      </c>
      <c r="N12" s="54" t="str">
        <f>IF(ISBLANK(Data!Y86),"",Data!Y86)</f>
        <v/>
      </c>
      <c r="O12" s="53" t="str">
        <f>IF(ISBLANK(Data!Z86),"",Data!Z86)</f>
        <v/>
      </c>
      <c r="P12" s="54" t="str">
        <f>IF(ISBLANK(Data!AA86),"",Data!AA86)</f>
        <v/>
      </c>
      <c r="Q12" s="60" t="str">
        <f>IF(Data!G9="","",IF(Data!G9=0,1080,Data!G9))</f>
        <v/>
      </c>
      <c r="R12" s="61" t="str">
        <f>IF(ISBLANK(Data!H9),"",Data!H9)</f>
        <v/>
      </c>
      <c r="S12" s="57">
        <f t="shared" si="3"/>
        <v>1</v>
      </c>
      <c r="T12" s="58">
        <f t="shared" si="4"/>
        <v>1</v>
      </c>
      <c r="X12" s="16">
        <f t="shared" si="0"/>
        <v>1</v>
      </c>
      <c r="Y12" s="16">
        <f t="shared" si="1"/>
        <v>1</v>
      </c>
    </row>
    <row r="13" spans="2:28" ht="14.1" customHeight="1" x14ac:dyDescent="0.25">
      <c r="B13" s="59">
        <f t="shared" si="2"/>
        <v>5</v>
      </c>
      <c r="C13" s="39"/>
      <c r="D13" s="40"/>
      <c r="E13" s="40"/>
      <c r="F13" s="41"/>
      <c r="G13" s="50" t="str">
        <f>IF(ISBLANK(Data!M47),"",Data!M47)</f>
        <v/>
      </c>
      <c r="H13" s="51" t="str">
        <f>IF(ISBLANK(Data!N47),"",IF(Data!N47=2,0,Data!N47))</f>
        <v/>
      </c>
      <c r="I13" s="51" t="str">
        <f>IF(ISBLANK(Data!O47),"",Data!O47)</f>
        <v/>
      </c>
      <c r="J13" s="52" t="str">
        <f>IF(ISBLANK(Data!P47),"",Data!P47)</f>
        <v/>
      </c>
      <c r="K13" s="50" t="str">
        <f>IF(ISBLANK(Data!V87),"",Data!V87)</f>
        <v/>
      </c>
      <c r="L13" s="52" t="str">
        <f>IF(ISBLANK(Data!W87),"",Data!W87)</f>
        <v/>
      </c>
      <c r="M13" s="53" t="str">
        <f>IF(ISBLANK(Data!X87),"",Data!X87)</f>
        <v/>
      </c>
      <c r="N13" s="54" t="str">
        <f>IF(ISBLANK(Data!Y87),"",Data!Y87)</f>
        <v/>
      </c>
      <c r="O13" s="53" t="str">
        <f>IF(ISBLANK(Data!Z87),"",Data!Z87)</f>
        <v/>
      </c>
      <c r="P13" s="54" t="str">
        <f>IF(ISBLANK(Data!AA87),"",Data!AA87)</f>
        <v/>
      </c>
      <c r="Q13" s="60" t="str">
        <f>IF(Data!G10="","",IF(Data!G10=0,1080,Data!G10))</f>
        <v/>
      </c>
      <c r="R13" s="61" t="str">
        <f>IF(ISBLANK(Data!H10),"",Data!H10)</f>
        <v/>
      </c>
      <c r="S13" s="57">
        <f t="shared" si="3"/>
        <v>1</v>
      </c>
      <c r="T13" s="58">
        <f t="shared" si="4"/>
        <v>1</v>
      </c>
      <c r="X13" s="16">
        <f t="shared" si="0"/>
        <v>1</v>
      </c>
      <c r="Y13" s="16">
        <f t="shared" si="1"/>
        <v>1</v>
      </c>
    </row>
    <row r="14" spans="2:28" ht="14.1" customHeight="1" x14ac:dyDescent="0.25">
      <c r="B14" s="59">
        <f t="shared" si="2"/>
        <v>6</v>
      </c>
      <c r="C14" s="39"/>
      <c r="D14" s="40"/>
      <c r="E14" s="40"/>
      <c r="F14" s="41"/>
      <c r="G14" s="50" t="str">
        <f>IF(ISBLANK(Data!M48),"",Data!M48)</f>
        <v/>
      </c>
      <c r="H14" s="51" t="str">
        <f>IF(ISBLANK(Data!N48),"",IF(Data!N48=2,0,Data!N48))</f>
        <v/>
      </c>
      <c r="I14" s="51" t="str">
        <f>IF(ISBLANK(Data!O48),"",Data!O48)</f>
        <v/>
      </c>
      <c r="J14" s="52" t="str">
        <f>IF(ISBLANK(Data!P48),"",Data!P48)</f>
        <v/>
      </c>
      <c r="K14" s="50" t="str">
        <f>IF(ISBLANK(Data!V88),"",Data!V88)</f>
        <v/>
      </c>
      <c r="L14" s="52" t="str">
        <f>IF(ISBLANK(Data!W88),"",Data!W88)</f>
        <v/>
      </c>
      <c r="M14" s="53" t="str">
        <f>IF(ISBLANK(Data!X88),"",Data!X88)</f>
        <v/>
      </c>
      <c r="N14" s="54" t="str">
        <f>IF(ISBLANK(Data!Y88),"",Data!Y88)</f>
        <v/>
      </c>
      <c r="O14" s="53" t="str">
        <f>IF(ISBLANK(Data!Z88),"",Data!Z88)</f>
        <v/>
      </c>
      <c r="P14" s="54" t="str">
        <f>IF(ISBLANK(Data!AA88),"",Data!AA88)</f>
        <v/>
      </c>
      <c r="Q14" s="60" t="str">
        <f>IF(Data!G11="","",IF(Data!G11=0,1080,Data!G11))</f>
        <v/>
      </c>
      <c r="R14" s="61" t="str">
        <f>IF(ISBLANK(Data!H11),"",Data!H11)</f>
        <v/>
      </c>
      <c r="S14" s="57">
        <f t="shared" si="3"/>
        <v>1</v>
      </c>
      <c r="T14" s="58">
        <f t="shared" si="4"/>
        <v>1</v>
      </c>
      <c r="X14" s="16">
        <f t="shared" si="0"/>
        <v>1</v>
      </c>
      <c r="Y14" s="16">
        <f t="shared" si="1"/>
        <v>1</v>
      </c>
    </row>
    <row r="15" spans="2:28" ht="14.1" customHeight="1" x14ac:dyDescent="0.25">
      <c r="B15" s="59">
        <f t="shared" si="2"/>
        <v>7</v>
      </c>
      <c r="C15" s="39"/>
      <c r="D15" s="40"/>
      <c r="E15" s="40"/>
      <c r="F15" s="41"/>
      <c r="G15" s="50" t="str">
        <f>IF(ISBLANK(Data!M49),"",Data!M49)</f>
        <v/>
      </c>
      <c r="H15" s="51" t="str">
        <f>IF(ISBLANK(Data!N49),"",IF(Data!N49=2,0,Data!N49))</f>
        <v/>
      </c>
      <c r="I15" s="51" t="str">
        <f>IF(ISBLANK(Data!O49),"",Data!O49)</f>
        <v/>
      </c>
      <c r="J15" s="52" t="str">
        <f>IF(ISBLANK(Data!P49),"",Data!P49)</f>
        <v/>
      </c>
      <c r="K15" s="50" t="str">
        <f>IF(ISBLANK(Data!V89),"",Data!V89)</f>
        <v/>
      </c>
      <c r="L15" s="52" t="str">
        <f>IF(ISBLANK(Data!W89),"",Data!W89)</f>
        <v/>
      </c>
      <c r="M15" s="53" t="str">
        <f>IF(ISBLANK(Data!X89),"",Data!X89)</f>
        <v/>
      </c>
      <c r="N15" s="54" t="str">
        <f>IF(ISBLANK(Data!Y89),"",Data!Y89)</f>
        <v/>
      </c>
      <c r="O15" s="53" t="str">
        <f>IF(ISBLANK(Data!Z89),"",Data!Z89)</f>
        <v/>
      </c>
      <c r="P15" s="54" t="str">
        <f>IF(ISBLANK(Data!AA89),"",Data!AA89)</f>
        <v/>
      </c>
      <c r="Q15" s="60" t="str">
        <f>IF(Data!G12="","",IF(Data!G12=0,1080,Data!G12))</f>
        <v/>
      </c>
      <c r="R15" s="61" t="str">
        <f>IF(ISBLANK(Data!H12),"",Data!H12)</f>
        <v/>
      </c>
      <c r="S15" s="57">
        <f t="shared" si="3"/>
        <v>1</v>
      </c>
      <c r="T15" s="58">
        <f t="shared" si="4"/>
        <v>1</v>
      </c>
      <c r="X15" s="16">
        <f t="shared" si="0"/>
        <v>1</v>
      </c>
      <c r="Y15" s="16">
        <f t="shared" si="1"/>
        <v>1</v>
      </c>
    </row>
    <row r="16" spans="2:28" ht="14.1" customHeight="1" x14ac:dyDescent="0.25">
      <c r="B16" s="59">
        <f t="shared" si="2"/>
        <v>8</v>
      </c>
      <c r="C16" s="39"/>
      <c r="D16" s="40"/>
      <c r="E16" s="40"/>
      <c r="F16" s="41"/>
      <c r="G16" s="50" t="str">
        <f>IF(ISBLANK(Data!M50),"",Data!M50)</f>
        <v/>
      </c>
      <c r="H16" s="51" t="str">
        <f>IF(ISBLANK(Data!N50),"",IF(Data!N50=2,0,Data!N50))</f>
        <v/>
      </c>
      <c r="I16" s="51" t="str">
        <f>IF(ISBLANK(Data!O50),"",Data!O50)</f>
        <v/>
      </c>
      <c r="J16" s="52" t="str">
        <f>IF(ISBLANK(Data!P50),"",Data!P50)</f>
        <v/>
      </c>
      <c r="K16" s="50" t="str">
        <f>IF(ISBLANK(Data!V90),"",Data!V90)</f>
        <v/>
      </c>
      <c r="L16" s="52" t="str">
        <f>IF(ISBLANK(Data!W90),"",Data!W90)</f>
        <v/>
      </c>
      <c r="M16" s="53" t="str">
        <f>IF(ISBLANK(Data!X90),"",Data!X90)</f>
        <v/>
      </c>
      <c r="N16" s="54" t="str">
        <f>IF(ISBLANK(Data!Y90),"",Data!Y90)</f>
        <v/>
      </c>
      <c r="O16" s="53" t="str">
        <f>IF(ISBLANK(Data!Z90),"",Data!Z90)</f>
        <v/>
      </c>
      <c r="P16" s="54" t="str">
        <f>IF(ISBLANK(Data!AA90),"",Data!AA90)</f>
        <v/>
      </c>
      <c r="Q16" s="60" t="str">
        <f>IF(Data!G13="","",IF(Data!G13=0,1080,Data!G13))</f>
        <v/>
      </c>
      <c r="R16" s="61" t="str">
        <f>IF(ISBLANK(Data!H13),"",Data!H13)</f>
        <v/>
      </c>
      <c r="S16" s="57">
        <f t="shared" si="3"/>
        <v>1</v>
      </c>
      <c r="T16" s="58">
        <f t="shared" si="4"/>
        <v>1</v>
      </c>
      <c r="X16" s="16">
        <f t="shared" si="0"/>
        <v>1</v>
      </c>
      <c r="Y16" s="16">
        <f t="shared" si="1"/>
        <v>1</v>
      </c>
    </row>
    <row r="17" spans="2:25" ht="14.1" customHeight="1" x14ac:dyDescent="0.25">
      <c r="B17" s="59">
        <f t="shared" si="2"/>
        <v>9</v>
      </c>
      <c r="C17" s="39"/>
      <c r="D17" s="40"/>
      <c r="E17" s="40"/>
      <c r="F17" s="41"/>
      <c r="G17" s="50" t="str">
        <f>IF(ISBLANK(Data!M51),"",Data!M51)</f>
        <v/>
      </c>
      <c r="H17" s="51" t="str">
        <f>IF(ISBLANK(Data!N51),"",IF(Data!N51=2,0,Data!N51))</f>
        <v/>
      </c>
      <c r="I17" s="51" t="str">
        <f>IF(ISBLANK(Data!O51),"",Data!O51)</f>
        <v/>
      </c>
      <c r="J17" s="52" t="str">
        <f>IF(ISBLANK(Data!P51),"",Data!P51)</f>
        <v/>
      </c>
      <c r="K17" s="50" t="str">
        <f>IF(ISBLANK(Data!V91),"",Data!V91)</f>
        <v/>
      </c>
      <c r="L17" s="52" t="str">
        <f>IF(ISBLANK(Data!W91),"",Data!W91)</f>
        <v/>
      </c>
      <c r="M17" s="53" t="str">
        <f>IF(ISBLANK(Data!X91),"",Data!X91)</f>
        <v/>
      </c>
      <c r="N17" s="54" t="str">
        <f>IF(ISBLANK(Data!Y91),"",Data!Y91)</f>
        <v/>
      </c>
      <c r="O17" s="53" t="str">
        <f>IF(ISBLANK(Data!Z91),"",Data!Z91)</f>
        <v/>
      </c>
      <c r="P17" s="54" t="str">
        <f>IF(ISBLANK(Data!AA91),"",Data!AA91)</f>
        <v/>
      </c>
      <c r="Q17" s="60" t="str">
        <f>IF(Data!G14="","",IF(Data!G14=0,1080,Data!G14))</f>
        <v/>
      </c>
      <c r="R17" s="61" t="str">
        <f>IF(ISBLANK(Data!H14),"",Data!H14)</f>
        <v/>
      </c>
      <c r="S17" s="57">
        <f t="shared" si="3"/>
        <v>1</v>
      </c>
      <c r="T17" s="58">
        <f t="shared" si="4"/>
        <v>1</v>
      </c>
      <c r="X17" s="16">
        <f t="shared" si="0"/>
        <v>1</v>
      </c>
      <c r="Y17" s="16">
        <f t="shared" si="1"/>
        <v>1</v>
      </c>
    </row>
    <row r="18" spans="2:25" ht="14.1" customHeight="1" x14ac:dyDescent="0.25">
      <c r="B18" s="59">
        <f t="shared" si="2"/>
        <v>10</v>
      </c>
      <c r="C18" s="39"/>
      <c r="D18" s="40"/>
      <c r="E18" s="40"/>
      <c r="F18" s="41"/>
      <c r="G18" s="50" t="str">
        <f>IF(ISBLANK(Data!M52),"",Data!M52)</f>
        <v/>
      </c>
      <c r="H18" s="51" t="str">
        <f>IF(ISBLANK(Data!N52),"",IF(Data!N52=2,0,Data!N52))</f>
        <v/>
      </c>
      <c r="I18" s="51" t="str">
        <f>IF(ISBLANK(Data!O52),"",Data!O52)</f>
        <v/>
      </c>
      <c r="J18" s="52" t="str">
        <f>IF(ISBLANK(Data!P52),"",Data!P52)</f>
        <v/>
      </c>
      <c r="K18" s="50" t="str">
        <f>IF(ISBLANK(Data!V92),"",Data!V92)</f>
        <v/>
      </c>
      <c r="L18" s="52" t="str">
        <f>IF(ISBLANK(Data!W92),"",Data!W92)</f>
        <v/>
      </c>
      <c r="M18" s="53" t="str">
        <f>IF(ISBLANK(Data!X92),"",Data!X92)</f>
        <v/>
      </c>
      <c r="N18" s="54" t="str">
        <f>IF(ISBLANK(Data!Y92),"",Data!Y92)</f>
        <v/>
      </c>
      <c r="O18" s="53" t="str">
        <f>IF(ISBLANK(Data!Z92),"",Data!Z92)</f>
        <v/>
      </c>
      <c r="P18" s="54" t="str">
        <f>IF(ISBLANK(Data!AA92),"",Data!AA92)</f>
        <v/>
      </c>
      <c r="Q18" s="60" t="str">
        <f>IF(Data!G15="","",IF(Data!G15=0,1080,Data!G15))</f>
        <v/>
      </c>
      <c r="R18" s="61" t="str">
        <f>IF(ISBLANK(Data!H15),"",Data!H15)</f>
        <v/>
      </c>
      <c r="S18" s="57">
        <f t="shared" si="3"/>
        <v>1</v>
      </c>
      <c r="T18" s="58">
        <f t="shared" si="4"/>
        <v>1</v>
      </c>
      <c r="X18" s="16">
        <f t="shared" si="0"/>
        <v>1</v>
      </c>
      <c r="Y18" s="16">
        <f t="shared" si="1"/>
        <v>1</v>
      </c>
    </row>
    <row r="19" spans="2:25" ht="14.1" customHeight="1" x14ac:dyDescent="0.25">
      <c r="B19" s="59">
        <f t="shared" si="2"/>
        <v>11</v>
      </c>
      <c r="C19" s="39"/>
      <c r="D19" s="40"/>
      <c r="E19" s="40"/>
      <c r="F19" s="41"/>
      <c r="G19" s="50" t="str">
        <f>IF(ISBLANK(Data!M53),"",Data!M53)</f>
        <v/>
      </c>
      <c r="H19" s="51" t="str">
        <f>IF(ISBLANK(Data!N53),"",IF(Data!N53=2,0,Data!N53))</f>
        <v/>
      </c>
      <c r="I19" s="51" t="str">
        <f>IF(ISBLANK(Data!O53),"",Data!O53)</f>
        <v/>
      </c>
      <c r="J19" s="52" t="str">
        <f>IF(ISBLANK(Data!P53),"",Data!P53)</f>
        <v/>
      </c>
      <c r="K19" s="50" t="str">
        <f>IF(ISBLANK(Data!V93),"",Data!V93)</f>
        <v/>
      </c>
      <c r="L19" s="52" t="str">
        <f>IF(ISBLANK(Data!W93),"",Data!W93)</f>
        <v/>
      </c>
      <c r="M19" s="53" t="str">
        <f>IF(ISBLANK(Data!X93),"",Data!X93)</f>
        <v/>
      </c>
      <c r="N19" s="54" t="str">
        <f>IF(ISBLANK(Data!Y93),"",Data!Y93)</f>
        <v/>
      </c>
      <c r="O19" s="53" t="str">
        <f>IF(ISBLANK(Data!Z93),"",Data!Z93)</f>
        <v/>
      </c>
      <c r="P19" s="54" t="str">
        <f>IF(ISBLANK(Data!AA93),"",Data!AA93)</f>
        <v/>
      </c>
      <c r="Q19" s="60" t="str">
        <f>IF(Data!G16="","",IF(Data!G16=0,1080,Data!G16))</f>
        <v/>
      </c>
      <c r="R19" s="61" t="str">
        <f>IF(ISBLANK(Data!H16),"",Data!H16)</f>
        <v/>
      </c>
      <c r="S19" s="57">
        <f t="shared" si="3"/>
        <v>1</v>
      </c>
      <c r="T19" s="58">
        <f t="shared" si="4"/>
        <v>1</v>
      </c>
      <c r="X19" s="16">
        <f t="shared" si="0"/>
        <v>1</v>
      </c>
      <c r="Y19" s="16">
        <f t="shared" si="1"/>
        <v>1</v>
      </c>
    </row>
    <row r="20" spans="2:25" ht="14.1" customHeight="1" x14ac:dyDescent="0.25">
      <c r="B20" s="59">
        <f t="shared" si="2"/>
        <v>12</v>
      </c>
      <c r="C20" s="39"/>
      <c r="D20" s="40"/>
      <c r="E20" s="40"/>
      <c r="F20" s="41"/>
      <c r="G20" s="50" t="str">
        <f>IF(ISBLANK(Data!M54),"",Data!M54)</f>
        <v/>
      </c>
      <c r="H20" s="51" t="str">
        <f>IF(ISBLANK(Data!N54),"",IF(Data!N54=2,0,Data!N54))</f>
        <v/>
      </c>
      <c r="I20" s="51" t="str">
        <f>IF(ISBLANK(Data!O54),"",Data!O54)</f>
        <v/>
      </c>
      <c r="J20" s="52" t="str">
        <f>IF(ISBLANK(Data!P54),"",Data!P54)</f>
        <v/>
      </c>
      <c r="K20" s="50" t="str">
        <f>IF(ISBLANK(Data!V94),"",Data!V94)</f>
        <v/>
      </c>
      <c r="L20" s="52" t="str">
        <f>IF(ISBLANK(Data!W94),"",Data!W94)</f>
        <v/>
      </c>
      <c r="M20" s="53" t="str">
        <f>IF(ISBLANK(Data!X94),"",Data!X94)</f>
        <v/>
      </c>
      <c r="N20" s="54" t="str">
        <f>IF(ISBLANK(Data!Y94),"",Data!Y94)</f>
        <v/>
      </c>
      <c r="O20" s="53" t="str">
        <f>IF(ISBLANK(Data!Z94),"",Data!Z94)</f>
        <v/>
      </c>
      <c r="P20" s="54" t="str">
        <f>IF(ISBLANK(Data!AA94),"",Data!AA94)</f>
        <v/>
      </c>
      <c r="Q20" s="60" t="str">
        <f>IF(Data!G17="","",IF(Data!G17=0,1080,Data!G17))</f>
        <v/>
      </c>
      <c r="R20" s="61" t="str">
        <f>IF(ISBLANK(Data!H17),"",Data!H17)</f>
        <v/>
      </c>
      <c r="S20" s="57">
        <f t="shared" si="3"/>
        <v>1</v>
      </c>
      <c r="T20" s="58">
        <f t="shared" si="4"/>
        <v>1</v>
      </c>
      <c r="X20" s="16">
        <f t="shared" si="0"/>
        <v>1</v>
      </c>
      <c r="Y20" s="16">
        <f t="shared" si="1"/>
        <v>1</v>
      </c>
    </row>
    <row r="21" spans="2:25" ht="14.1" customHeight="1" x14ac:dyDescent="0.25">
      <c r="B21" s="59">
        <f t="shared" si="2"/>
        <v>13</v>
      </c>
      <c r="C21" s="39"/>
      <c r="D21" s="40"/>
      <c r="E21" s="40"/>
      <c r="F21" s="41"/>
      <c r="G21" s="50" t="str">
        <f>IF(ISBLANK(Data!M55),"",Data!M55)</f>
        <v/>
      </c>
      <c r="H21" s="51" t="str">
        <f>IF(ISBLANK(Data!N55),"",IF(Data!N55=2,0,Data!N55))</f>
        <v/>
      </c>
      <c r="I21" s="51" t="str">
        <f>IF(ISBLANK(Data!O55),"",Data!O55)</f>
        <v/>
      </c>
      <c r="J21" s="52" t="str">
        <f>IF(ISBLANK(Data!P55),"",Data!P55)</f>
        <v/>
      </c>
      <c r="K21" s="50" t="str">
        <f>IF(ISBLANK(Data!V95),"",Data!V95)</f>
        <v/>
      </c>
      <c r="L21" s="52" t="str">
        <f>IF(ISBLANK(Data!W95),"",Data!W95)</f>
        <v/>
      </c>
      <c r="M21" s="53" t="str">
        <f>IF(ISBLANK(Data!X95),"",Data!X95)</f>
        <v/>
      </c>
      <c r="N21" s="54" t="str">
        <f>IF(ISBLANK(Data!Y95),"",Data!Y95)</f>
        <v/>
      </c>
      <c r="O21" s="53" t="str">
        <f>IF(ISBLANK(Data!Z95),"",Data!Z95)</f>
        <v/>
      </c>
      <c r="P21" s="54" t="str">
        <f>IF(ISBLANK(Data!AA95),"",Data!AA95)</f>
        <v/>
      </c>
      <c r="Q21" s="60" t="str">
        <f>IF(Data!G18="","",IF(Data!G18=0,1080,Data!G18))</f>
        <v/>
      </c>
      <c r="R21" s="61" t="str">
        <f>IF(ISBLANK(Data!H18),"",Data!H18)</f>
        <v/>
      </c>
      <c r="S21" s="57">
        <f t="shared" si="3"/>
        <v>1</v>
      </c>
      <c r="T21" s="58">
        <f t="shared" si="4"/>
        <v>1</v>
      </c>
      <c r="X21" s="16">
        <f t="shared" si="0"/>
        <v>1</v>
      </c>
      <c r="Y21" s="16">
        <f t="shared" si="1"/>
        <v>1</v>
      </c>
    </row>
    <row r="22" spans="2:25" ht="14.1" customHeight="1" x14ac:dyDescent="0.25">
      <c r="B22" s="59">
        <f t="shared" si="2"/>
        <v>14</v>
      </c>
      <c r="C22" s="39"/>
      <c r="D22" s="40"/>
      <c r="E22" s="40"/>
      <c r="F22" s="41"/>
      <c r="G22" s="50" t="str">
        <f>IF(ISBLANK(Data!M56),"",Data!M56)</f>
        <v/>
      </c>
      <c r="H22" s="51" t="str">
        <f>IF(ISBLANK(Data!N56),"",IF(Data!N56=2,0,Data!N56))</f>
        <v/>
      </c>
      <c r="I22" s="51" t="str">
        <f>IF(ISBLANK(Data!O56),"",Data!O56)</f>
        <v/>
      </c>
      <c r="J22" s="52" t="str">
        <f>IF(ISBLANK(Data!P56),"",Data!P56)</f>
        <v/>
      </c>
      <c r="K22" s="50" t="str">
        <f>IF(ISBLANK(Data!V96),"",Data!V96)</f>
        <v/>
      </c>
      <c r="L22" s="52" t="str">
        <f>IF(ISBLANK(Data!W96),"",Data!W96)</f>
        <v/>
      </c>
      <c r="M22" s="53" t="str">
        <f>IF(ISBLANK(Data!X96),"",Data!X96)</f>
        <v/>
      </c>
      <c r="N22" s="54" t="str">
        <f>IF(ISBLANK(Data!Y96),"",Data!Y96)</f>
        <v/>
      </c>
      <c r="O22" s="53" t="str">
        <f>IF(ISBLANK(Data!Z96),"",Data!Z96)</f>
        <v/>
      </c>
      <c r="P22" s="54" t="str">
        <f>IF(ISBLANK(Data!AA96),"",Data!AA96)</f>
        <v/>
      </c>
      <c r="Q22" s="60" t="str">
        <f>IF(Data!G19="","",IF(Data!G19=0,1080,Data!G19))</f>
        <v/>
      </c>
      <c r="R22" s="61" t="str">
        <f>IF(ISBLANK(Data!H19),"",Data!H19)</f>
        <v/>
      </c>
      <c r="S22" s="57">
        <f t="shared" si="3"/>
        <v>1</v>
      </c>
      <c r="T22" s="58">
        <f t="shared" si="4"/>
        <v>1</v>
      </c>
      <c r="X22" s="16">
        <f t="shared" si="0"/>
        <v>1</v>
      </c>
      <c r="Y22" s="16">
        <f t="shared" si="1"/>
        <v>1</v>
      </c>
    </row>
    <row r="23" spans="2:25" ht="14.1" customHeight="1" x14ac:dyDescent="0.25">
      <c r="B23" s="59">
        <f t="shared" si="2"/>
        <v>15</v>
      </c>
      <c r="C23" s="39"/>
      <c r="D23" s="40"/>
      <c r="E23" s="40"/>
      <c r="F23" s="41"/>
      <c r="G23" s="50" t="str">
        <f>IF(ISBLANK(Data!M57),"",Data!M57)</f>
        <v/>
      </c>
      <c r="H23" s="51" t="str">
        <f>IF(ISBLANK(Data!N57),"",IF(Data!N57=2,0,Data!N57))</f>
        <v/>
      </c>
      <c r="I23" s="51" t="str">
        <f>IF(ISBLANK(Data!O57),"",Data!O57)</f>
        <v/>
      </c>
      <c r="J23" s="52" t="str">
        <f>IF(ISBLANK(Data!P57),"",Data!P57)</f>
        <v/>
      </c>
      <c r="K23" s="50" t="str">
        <f>IF(ISBLANK(Data!V97),"",Data!V97)</f>
        <v/>
      </c>
      <c r="L23" s="52" t="str">
        <f>IF(ISBLANK(Data!W97),"",Data!W97)</f>
        <v/>
      </c>
      <c r="M23" s="53" t="str">
        <f>IF(ISBLANK(Data!X97),"",Data!X97)</f>
        <v/>
      </c>
      <c r="N23" s="54" t="str">
        <f>IF(ISBLANK(Data!Y97),"",Data!Y97)</f>
        <v/>
      </c>
      <c r="O23" s="53" t="str">
        <f>IF(ISBLANK(Data!Z97),"",Data!Z97)</f>
        <v/>
      </c>
      <c r="P23" s="54" t="str">
        <f>IF(ISBLANK(Data!AA97),"",Data!AA97)</f>
        <v/>
      </c>
      <c r="Q23" s="60" t="str">
        <f>IF(Data!G20="","",IF(Data!G20=0,1080,Data!G20))</f>
        <v/>
      </c>
      <c r="R23" s="61" t="str">
        <f>IF(ISBLANK(Data!H20),"",Data!H20)</f>
        <v/>
      </c>
      <c r="S23" s="57">
        <f t="shared" si="3"/>
        <v>1</v>
      </c>
      <c r="T23" s="58">
        <f t="shared" si="4"/>
        <v>1</v>
      </c>
      <c r="X23" s="16">
        <f t="shared" si="0"/>
        <v>1</v>
      </c>
      <c r="Y23" s="16">
        <f t="shared" si="1"/>
        <v>1</v>
      </c>
    </row>
    <row r="24" spans="2:25" ht="14.1" customHeight="1" x14ac:dyDescent="0.25">
      <c r="B24" s="59">
        <f t="shared" si="2"/>
        <v>16</v>
      </c>
      <c r="C24" s="39"/>
      <c r="D24" s="40"/>
      <c r="E24" s="40"/>
      <c r="F24" s="41"/>
      <c r="G24" s="50" t="str">
        <f>IF(ISBLANK(Data!M58),"",Data!M58)</f>
        <v/>
      </c>
      <c r="H24" s="51" t="str">
        <f>IF(ISBLANK(Data!N58),"",IF(Data!N58=2,0,Data!N58))</f>
        <v/>
      </c>
      <c r="I24" s="51" t="str">
        <f>IF(ISBLANK(Data!O58),"",Data!O58)</f>
        <v/>
      </c>
      <c r="J24" s="52" t="str">
        <f>IF(ISBLANK(Data!P58),"",Data!P58)</f>
        <v/>
      </c>
      <c r="K24" s="50" t="str">
        <f>IF(ISBLANK(Data!V98),"",Data!V98)</f>
        <v/>
      </c>
      <c r="L24" s="52" t="str">
        <f>IF(ISBLANK(Data!W98),"",Data!W98)</f>
        <v/>
      </c>
      <c r="M24" s="53" t="str">
        <f>IF(ISBLANK(Data!X98),"",Data!X98)</f>
        <v/>
      </c>
      <c r="N24" s="54" t="str">
        <f>IF(ISBLANK(Data!Y98),"",Data!Y98)</f>
        <v/>
      </c>
      <c r="O24" s="53" t="str">
        <f>IF(ISBLANK(Data!Z98),"",Data!Z98)</f>
        <v/>
      </c>
      <c r="P24" s="54" t="str">
        <f>IF(ISBLANK(Data!AA98),"",Data!AA98)</f>
        <v/>
      </c>
      <c r="Q24" s="60" t="str">
        <f>IF(Data!G21="","",IF(Data!G21=0,1080,Data!G21))</f>
        <v/>
      </c>
      <c r="R24" s="61" t="str">
        <f>IF(ISBLANK(Data!H21),"",Data!H21)</f>
        <v/>
      </c>
      <c r="S24" s="57">
        <f t="shared" si="3"/>
        <v>1</v>
      </c>
      <c r="T24" s="58">
        <f t="shared" si="4"/>
        <v>1</v>
      </c>
      <c r="X24" s="16">
        <f t="shared" si="0"/>
        <v>1</v>
      </c>
      <c r="Y24" s="16">
        <f t="shared" si="1"/>
        <v>1</v>
      </c>
    </row>
    <row r="25" spans="2:25" ht="14.1" customHeight="1" x14ac:dyDescent="0.25">
      <c r="B25" s="59">
        <f t="shared" si="2"/>
        <v>17</v>
      </c>
      <c r="C25" s="39"/>
      <c r="D25" s="40"/>
      <c r="E25" s="40"/>
      <c r="F25" s="41"/>
      <c r="G25" s="50" t="str">
        <f>IF(ISBLANK(Data!M59),"",Data!M59)</f>
        <v/>
      </c>
      <c r="H25" s="51" t="str">
        <f>IF(ISBLANK(Data!N59),"",IF(Data!N59=2,0,Data!N59))</f>
        <v/>
      </c>
      <c r="I25" s="51" t="str">
        <f>IF(ISBLANK(Data!O59),"",Data!O59)</f>
        <v/>
      </c>
      <c r="J25" s="52" t="str">
        <f>IF(ISBLANK(Data!P59),"",Data!P59)</f>
        <v/>
      </c>
      <c r="K25" s="50" t="str">
        <f>IF(ISBLANK(Data!V99),"",Data!V99)</f>
        <v/>
      </c>
      <c r="L25" s="52" t="str">
        <f>IF(ISBLANK(Data!W99),"",Data!W99)</f>
        <v/>
      </c>
      <c r="M25" s="53" t="str">
        <f>IF(ISBLANK(Data!X99),"",Data!X99)</f>
        <v/>
      </c>
      <c r="N25" s="54" t="str">
        <f>IF(ISBLANK(Data!Y99),"",Data!Y99)</f>
        <v/>
      </c>
      <c r="O25" s="53" t="str">
        <f>IF(ISBLANK(Data!Z99),"",Data!Z99)</f>
        <v/>
      </c>
      <c r="P25" s="54" t="str">
        <f>IF(ISBLANK(Data!AA99),"",Data!AA99)</f>
        <v/>
      </c>
      <c r="Q25" s="60" t="str">
        <f>IF(Data!G22="","",IF(Data!G22=0,1080,Data!G22))</f>
        <v/>
      </c>
      <c r="R25" s="61" t="str">
        <f>IF(ISBLANK(Data!H22),"",Data!H22)</f>
        <v/>
      </c>
      <c r="S25" s="57">
        <f t="shared" si="3"/>
        <v>1</v>
      </c>
      <c r="T25" s="58">
        <f t="shared" si="4"/>
        <v>1</v>
      </c>
      <c r="X25" s="16">
        <f t="shared" si="0"/>
        <v>1</v>
      </c>
      <c r="Y25" s="16">
        <f t="shared" si="1"/>
        <v>1</v>
      </c>
    </row>
    <row r="26" spans="2:25" ht="14.1" customHeight="1" x14ac:dyDescent="0.25">
      <c r="B26" s="59">
        <f t="shared" si="2"/>
        <v>18</v>
      </c>
      <c r="C26" s="39"/>
      <c r="D26" s="40"/>
      <c r="E26" s="40"/>
      <c r="F26" s="41"/>
      <c r="G26" s="50" t="str">
        <f>IF(ISBLANK(Data!M60),"",Data!M60)</f>
        <v/>
      </c>
      <c r="H26" s="51" t="str">
        <f>IF(ISBLANK(Data!N60),"",IF(Data!N60=2,0,Data!N60))</f>
        <v/>
      </c>
      <c r="I26" s="51" t="str">
        <f>IF(ISBLANK(Data!O60),"",Data!O60)</f>
        <v/>
      </c>
      <c r="J26" s="52" t="str">
        <f>IF(ISBLANK(Data!P60),"",Data!P60)</f>
        <v/>
      </c>
      <c r="K26" s="50" t="str">
        <f>IF(ISBLANK(Data!V100),"",Data!V100)</f>
        <v/>
      </c>
      <c r="L26" s="52" t="str">
        <f>IF(ISBLANK(Data!W100),"",Data!W100)</f>
        <v/>
      </c>
      <c r="M26" s="53" t="str">
        <f>IF(ISBLANK(Data!X100),"",Data!X100)</f>
        <v/>
      </c>
      <c r="N26" s="54" t="str">
        <f>IF(ISBLANK(Data!Y100),"",Data!Y100)</f>
        <v/>
      </c>
      <c r="O26" s="53" t="str">
        <f>IF(ISBLANK(Data!Z100),"",Data!Z100)</f>
        <v/>
      </c>
      <c r="P26" s="54" t="str">
        <f>IF(ISBLANK(Data!AA100),"",Data!AA100)</f>
        <v/>
      </c>
      <c r="Q26" s="60" t="str">
        <f>IF(Data!G23="","",IF(Data!G23=0,1080,Data!G23))</f>
        <v/>
      </c>
      <c r="R26" s="61" t="str">
        <f>IF(ISBLANK(Data!H23),"",Data!H23)</f>
        <v/>
      </c>
      <c r="S26" s="57">
        <f t="shared" si="3"/>
        <v>1</v>
      </c>
      <c r="T26" s="58">
        <f t="shared" si="4"/>
        <v>1</v>
      </c>
      <c r="X26" s="16">
        <f t="shared" si="0"/>
        <v>1</v>
      </c>
      <c r="Y26" s="16">
        <f t="shared" si="1"/>
        <v>1</v>
      </c>
    </row>
    <row r="27" spans="2:25" ht="14.1" customHeight="1" x14ac:dyDescent="0.25">
      <c r="B27" s="59">
        <f t="shared" si="2"/>
        <v>19</v>
      </c>
      <c r="C27" s="39"/>
      <c r="D27" s="40"/>
      <c r="E27" s="40"/>
      <c r="F27" s="41"/>
      <c r="G27" s="50" t="str">
        <f>IF(ISBLANK(Data!M61),"",Data!M61)</f>
        <v/>
      </c>
      <c r="H27" s="51" t="str">
        <f>IF(ISBLANK(Data!N61),"",IF(Data!N61=2,0,Data!N61))</f>
        <v/>
      </c>
      <c r="I27" s="51" t="str">
        <f>IF(ISBLANK(Data!O61),"",Data!O61)</f>
        <v/>
      </c>
      <c r="J27" s="52" t="str">
        <f>IF(ISBLANK(Data!P61),"",Data!P61)</f>
        <v/>
      </c>
      <c r="K27" s="50" t="str">
        <f>IF(ISBLANK(Data!V101),"",Data!V101)</f>
        <v/>
      </c>
      <c r="L27" s="52" t="str">
        <f>IF(ISBLANK(Data!W101),"",Data!W101)</f>
        <v/>
      </c>
      <c r="M27" s="53" t="str">
        <f>IF(ISBLANK(Data!X101),"",Data!X101)</f>
        <v/>
      </c>
      <c r="N27" s="54" t="str">
        <f>IF(ISBLANK(Data!Y101),"",Data!Y101)</f>
        <v/>
      </c>
      <c r="O27" s="53" t="str">
        <f>IF(ISBLANK(Data!Z101),"",Data!Z101)</f>
        <v/>
      </c>
      <c r="P27" s="54" t="str">
        <f>IF(ISBLANK(Data!AA101),"",Data!AA101)</f>
        <v/>
      </c>
      <c r="Q27" s="60" t="str">
        <f>IF(Data!G24="","",IF(Data!G24=0,1080,Data!G24))</f>
        <v/>
      </c>
      <c r="R27" s="61" t="str">
        <f>IF(ISBLANK(Data!H24),"",Data!H24)</f>
        <v/>
      </c>
      <c r="S27" s="57">
        <f t="shared" si="3"/>
        <v>1</v>
      </c>
      <c r="T27" s="58">
        <f t="shared" si="4"/>
        <v>1</v>
      </c>
      <c r="X27" s="16">
        <f t="shared" si="0"/>
        <v>1</v>
      </c>
      <c r="Y27" s="16">
        <f t="shared" si="1"/>
        <v>1</v>
      </c>
    </row>
    <row r="28" spans="2:25" ht="14.1" customHeight="1" x14ac:dyDescent="0.25">
      <c r="B28" s="59">
        <f t="shared" si="2"/>
        <v>20</v>
      </c>
      <c r="C28" s="39"/>
      <c r="D28" s="40"/>
      <c r="E28" s="40"/>
      <c r="F28" s="41"/>
      <c r="G28" s="50" t="str">
        <f>IF(ISBLANK(Data!M62),"",Data!M62)</f>
        <v/>
      </c>
      <c r="H28" s="51" t="str">
        <f>IF(ISBLANK(Data!N62),"",IF(Data!N62=2,0,Data!N62))</f>
        <v/>
      </c>
      <c r="I28" s="51" t="str">
        <f>IF(ISBLANK(Data!O62),"",Data!O62)</f>
        <v/>
      </c>
      <c r="J28" s="52" t="str">
        <f>IF(ISBLANK(Data!P62),"",Data!P62)</f>
        <v/>
      </c>
      <c r="K28" s="50" t="str">
        <f>IF(ISBLANK(Data!V102),"",Data!V102)</f>
        <v/>
      </c>
      <c r="L28" s="52" t="str">
        <f>IF(ISBLANK(Data!W102),"",Data!W102)</f>
        <v/>
      </c>
      <c r="M28" s="53" t="str">
        <f>IF(ISBLANK(Data!X102),"",Data!X102)</f>
        <v/>
      </c>
      <c r="N28" s="54" t="str">
        <f>IF(ISBLANK(Data!Y102),"",Data!Y102)</f>
        <v/>
      </c>
      <c r="O28" s="53" t="str">
        <f>IF(ISBLANK(Data!Z102),"",Data!Z102)</f>
        <v/>
      </c>
      <c r="P28" s="54" t="str">
        <f>IF(ISBLANK(Data!AA102),"",Data!AA102)</f>
        <v/>
      </c>
      <c r="Q28" s="60" t="str">
        <f>IF(Data!G25="","",IF(Data!G25=0,1080,Data!G25))</f>
        <v/>
      </c>
      <c r="R28" s="61" t="str">
        <f>IF(ISBLANK(Data!H25),"",Data!H25)</f>
        <v/>
      </c>
      <c r="S28" s="57">
        <f t="shared" si="3"/>
        <v>1</v>
      </c>
      <c r="T28" s="58">
        <f t="shared" si="4"/>
        <v>1</v>
      </c>
      <c r="X28" s="16">
        <f t="shared" si="0"/>
        <v>1</v>
      </c>
      <c r="Y28" s="16">
        <f t="shared" si="1"/>
        <v>1</v>
      </c>
    </row>
    <row r="29" spans="2:25" ht="14.1" customHeight="1" x14ac:dyDescent="0.25">
      <c r="B29" s="59">
        <f t="shared" si="2"/>
        <v>21</v>
      </c>
      <c r="C29" s="39"/>
      <c r="D29" s="40"/>
      <c r="E29" s="40"/>
      <c r="F29" s="41"/>
      <c r="G29" s="50" t="str">
        <f>IF(ISBLANK(Data!M63),"",Data!M63)</f>
        <v/>
      </c>
      <c r="H29" s="51" t="str">
        <f>IF(ISBLANK(Data!N63),"",IF(Data!N63=2,0,Data!N63))</f>
        <v/>
      </c>
      <c r="I29" s="51" t="str">
        <f>IF(ISBLANK(Data!O63),"",Data!O63)</f>
        <v/>
      </c>
      <c r="J29" s="52" t="str">
        <f>IF(ISBLANK(Data!P63),"",Data!P63)</f>
        <v/>
      </c>
      <c r="K29" s="50" t="str">
        <f>IF(ISBLANK(Data!V103),"",Data!V103)</f>
        <v/>
      </c>
      <c r="L29" s="52" t="str">
        <f>IF(ISBLANK(Data!W103),"",Data!W103)</f>
        <v/>
      </c>
      <c r="M29" s="53" t="str">
        <f>IF(ISBLANK(Data!X103),"",Data!X103)</f>
        <v/>
      </c>
      <c r="N29" s="54" t="str">
        <f>IF(ISBLANK(Data!Y103),"",Data!Y103)</f>
        <v/>
      </c>
      <c r="O29" s="53" t="str">
        <f>IF(ISBLANK(Data!Z103),"",Data!Z103)</f>
        <v/>
      </c>
      <c r="P29" s="54" t="str">
        <f>IF(ISBLANK(Data!AA103),"",Data!AA103)</f>
        <v/>
      </c>
      <c r="Q29" s="60" t="str">
        <f>IF(Data!G26="","",IF(Data!G26=0,1080,Data!G26))</f>
        <v/>
      </c>
      <c r="R29" s="61" t="str">
        <f>IF(ISBLANK(Data!H26),"",Data!H26)</f>
        <v/>
      </c>
      <c r="S29" s="57">
        <f t="shared" si="3"/>
        <v>1</v>
      </c>
      <c r="T29" s="58">
        <f t="shared" si="4"/>
        <v>1</v>
      </c>
      <c r="X29" s="16">
        <f t="shared" si="0"/>
        <v>1</v>
      </c>
      <c r="Y29" s="16">
        <f t="shared" si="1"/>
        <v>1</v>
      </c>
    </row>
    <row r="30" spans="2:25" ht="14.1" customHeight="1" x14ac:dyDescent="0.25">
      <c r="B30" s="59">
        <f t="shared" si="2"/>
        <v>22</v>
      </c>
      <c r="C30" s="39"/>
      <c r="D30" s="40"/>
      <c r="E30" s="40"/>
      <c r="F30" s="41"/>
      <c r="G30" s="50" t="str">
        <f>IF(ISBLANK(Data!M64),"",Data!M64)</f>
        <v/>
      </c>
      <c r="H30" s="51" t="str">
        <f>IF(ISBLANK(Data!N64),"",IF(Data!N64=2,0,Data!N64))</f>
        <v/>
      </c>
      <c r="I30" s="51" t="str">
        <f>IF(ISBLANK(Data!O64),"",Data!O64)</f>
        <v/>
      </c>
      <c r="J30" s="52" t="str">
        <f>IF(ISBLANK(Data!P64),"",Data!P64)</f>
        <v/>
      </c>
      <c r="K30" s="50" t="str">
        <f>IF(ISBLANK(Data!V104),"",Data!V104)</f>
        <v/>
      </c>
      <c r="L30" s="52" t="str">
        <f>IF(ISBLANK(Data!W104),"",Data!W104)</f>
        <v/>
      </c>
      <c r="M30" s="53" t="str">
        <f>IF(ISBLANK(Data!X104),"",Data!X104)</f>
        <v/>
      </c>
      <c r="N30" s="54" t="str">
        <f>IF(ISBLANK(Data!Y104),"",Data!Y104)</f>
        <v/>
      </c>
      <c r="O30" s="53" t="str">
        <f>IF(ISBLANK(Data!Z104),"",Data!Z104)</f>
        <v/>
      </c>
      <c r="P30" s="54" t="str">
        <f>IF(ISBLANK(Data!AA104),"",Data!AA104)</f>
        <v/>
      </c>
      <c r="Q30" s="60" t="str">
        <f>IF(Data!G27="","",IF(Data!G27=0,1080,Data!G27))</f>
        <v/>
      </c>
      <c r="R30" s="61" t="str">
        <f>IF(ISBLANK(Data!H27),"",Data!H27)</f>
        <v/>
      </c>
      <c r="S30" s="57">
        <f t="shared" si="3"/>
        <v>1</v>
      </c>
      <c r="T30" s="58">
        <f t="shared" si="4"/>
        <v>1</v>
      </c>
      <c r="X30" s="16">
        <f t="shared" si="0"/>
        <v>1</v>
      </c>
      <c r="Y30" s="16">
        <f t="shared" si="1"/>
        <v>1</v>
      </c>
    </row>
    <row r="31" spans="2:25" ht="14.1" customHeight="1" x14ac:dyDescent="0.25">
      <c r="B31" s="59">
        <f t="shared" si="2"/>
        <v>23</v>
      </c>
      <c r="C31" s="39"/>
      <c r="D31" s="40"/>
      <c r="E31" s="40"/>
      <c r="F31" s="41"/>
      <c r="G31" s="50" t="str">
        <f>IF(ISBLANK(Data!M65),"",Data!M65)</f>
        <v/>
      </c>
      <c r="H31" s="51" t="str">
        <f>IF(ISBLANK(Data!N65),"",IF(Data!N65=2,0,Data!N65))</f>
        <v/>
      </c>
      <c r="I31" s="51" t="str">
        <f>IF(ISBLANK(Data!O65),"",Data!O65)</f>
        <v/>
      </c>
      <c r="J31" s="52" t="str">
        <f>IF(ISBLANK(Data!P65),"",Data!P65)</f>
        <v/>
      </c>
      <c r="K31" s="50" t="str">
        <f>IF(ISBLANK(Data!V105),"",Data!V105)</f>
        <v/>
      </c>
      <c r="L31" s="52" t="str">
        <f>IF(ISBLANK(Data!W105),"",Data!W105)</f>
        <v/>
      </c>
      <c r="M31" s="53" t="str">
        <f>IF(ISBLANK(Data!X105),"",Data!X105)</f>
        <v/>
      </c>
      <c r="N31" s="54" t="str">
        <f>IF(ISBLANK(Data!Y105),"",Data!Y105)</f>
        <v/>
      </c>
      <c r="O31" s="53" t="str">
        <f>IF(ISBLANK(Data!Z105),"",Data!Z105)</f>
        <v/>
      </c>
      <c r="P31" s="54" t="str">
        <f>IF(ISBLANK(Data!AA105),"",Data!AA105)</f>
        <v/>
      </c>
      <c r="Q31" s="60" t="str">
        <f>IF(Data!G28="","",IF(Data!G28=0,1080,Data!G28))</f>
        <v/>
      </c>
      <c r="R31" s="61" t="str">
        <f>IF(ISBLANK(Data!H28),"",Data!H28)</f>
        <v/>
      </c>
      <c r="S31" s="57">
        <f t="shared" si="3"/>
        <v>1</v>
      </c>
      <c r="T31" s="58">
        <f t="shared" si="4"/>
        <v>1</v>
      </c>
      <c r="X31" s="16">
        <f t="shared" si="0"/>
        <v>1</v>
      </c>
      <c r="Y31" s="16">
        <f t="shared" si="1"/>
        <v>1</v>
      </c>
    </row>
    <row r="32" spans="2:25" ht="14.1" customHeight="1" x14ac:dyDescent="0.25">
      <c r="B32" s="59">
        <f t="shared" si="2"/>
        <v>24</v>
      </c>
      <c r="C32" s="39"/>
      <c r="D32" s="40"/>
      <c r="E32" s="40"/>
      <c r="F32" s="41"/>
      <c r="G32" s="50" t="str">
        <f>IF(ISBLANK(Data!M66),"",Data!M66)</f>
        <v/>
      </c>
      <c r="H32" s="51" t="str">
        <f>IF(ISBLANK(Data!N66),"",IF(Data!N66=2,0,Data!N66))</f>
        <v/>
      </c>
      <c r="I32" s="51" t="str">
        <f>IF(ISBLANK(Data!O66),"",Data!O66)</f>
        <v/>
      </c>
      <c r="J32" s="52" t="str">
        <f>IF(ISBLANK(Data!P66),"",Data!P66)</f>
        <v/>
      </c>
      <c r="K32" s="50" t="str">
        <f>IF(ISBLANK(Data!V106),"",Data!V106)</f>
        <v/>
      </c>
      <c r="L32" s="52" t="str">
        <f>IF(ISBLANK(Data!W106),"",Data!W106)</f>
        <v/>
      </c>
      <c r="M32" s="53" t="str">
        <f>IF(ISBLANK(Data!X106),"",Data!X106)</f>
        <v/>
      </c>
      <c r="N32" s="54" t="str">
        <f>IF(ISBLANK(Data!Y106),"",Data!Y106)</f>
        <v/>
      </c>
      <c r="O32" s="53" t="str">
        <f>IF(ISBLANK(Data!Z106),"",Data!Z106)</f>
        <v/>
      </c>
      <c r="P32" s="54" t="str">
        <f>IF(ISBLANK(Data!AA106),"",Data!AA106)</f>
        <v/>
      </c>
      <c r="Q32" s="60" t="str">
        <f>IF(Data!G29="","",IF(Data!G29=0,1080,Data!G29))</f>
        <v/>
      </c>
      <c r="R32" s="61" t="str">
        <f>IF(ISBLANK(Data!H29),"",Data!H29)</f>
        <v/>
      </c>
      <c r="S32" s="57">
        <f t="shared" si="3"/>
        <v>1</v>
      </c>
      <c r="T32" s="58">
        <f t="shared" si="4"/>
        <v>1</v>
      </c>
      <c r="X32" s="16">
        <f t="shared" si="0"/>
        <v>1</v>
      </c>
      <c r="Y32" s="16">
        <f t="shared" si="1"/>
        <v>1</v>
      </c>
    </row>
    <row r="33" spans="2:25" ht="14.1" customHeight="1" x14ac:dyDescent="0.25">
      <c r="B33" s="59">
        <f t="shared" si="2"/>
        <v>25</v>
      </c>
      <c r="C33" s="39"/>
      <c r="D33" s="40"/>
      <c r="E33" s="40"/>
      <c r="F33" s="41"/>
      <c r="G33" s="50" t="str">
        <f>IF(ISBLANK(Data!M67),"",Data!M67)</f>
        <v/>
      </c>
      <c r="H33" s="51" t="str">
        <f>IF(ISBLANK(Data!N67),"",IF(Data!N67=2,0,Data!N67))</f>
        <v/>
      </c>
      <c r="I33" s="51" t="str">
        <f>IF(ISBLANK(Data!O67),"",Data!O67)</f>
        <v/>
      </c>
      <c r="J33" s="52" t="str">
        <f>IF(ISBLANK(Data!P67),"",Data!P67)</f>
        <v/>
      </c>
      <c r="K33" s="50" t="str">
        <f>IF(ISBLANK(Data!V107),"",Data!V107)</f>
        <v/>
      </c>
      <c r="L33" s="52" t="str">
        <f>IF(ISBLANK(Data!W107),"",Data!W107)</f>
        <v/>
      </c>
      <c r="M33" s="53" t="str">
        <f>IF(ISBLANK(Data!X107),"",Data!X107)</f>
        <v/>
      </c>
      <c r="N33" s="54" t="str">
        <f>IF(ISBLANK(Data!Y107),"",Data!Y107)</f>
        <v/>
      </c>
      <c r="O33" s="53" t="str">
        <f>IF(ISBLANK(Data!Z107),"",Data!Z107)</f>
        <v/>
      </c>
      <c r="P33" s="54" t="str">
        <f>IF(ISBLANK(Data!AA107),"",Data!AA107)</f>
        <v/>
      </c>
      <c r="Q33" s="60" t="str">
        <f>IF(Data!G30="","",IF(Data!G30=0,1080,Data!G30))</f>
        <v/>
      </c>
      <c r="R33" s="61" t="str">
        <f>IF(ISBLANK(Data!H30),"",Data!H30)</f>
        <v/>
      </c>
      <c r="S33" s="57">
        <f t="shared" si="3"/>
        <v>1</v>
      </c>
      <c r="T33" s="58">
        <f t="shared" si="4"/>
        <v>1</v>
      </c>
      <c r="X33" s="16">
        <f t="shared" si="0"/>
        <v>1</v>
      </c>
      <c r="Y33" s="16">
        <f t="shared" si="1"/>
        <v>1</v>
      </c>
    </row>
    <row r="34" spans="2:25" ht="14.1" customHeight="1" x14ac:dyDescent="0.25">
      <c r="B34" s="59">
        <f t="shared" si="2"/>
        <v>26</v>
      </c>
      <c r="C34" s="39"/>
      <c r="D34" s="40"/>
      <c r="E34" s="40"/>
      <c r="F34" s="41"/>
      <c r="G34" s="50" t="str">
        <f>IF(ISBLANK(Data!M68),"",Data!M68)</f>
        <v/>
      </c>
      <c r="H34" s="51" t="str">
        <f>IF(ISBLANK(Data!N68),"",IF(Data!N68=2,0,Data!N68))</f>
        <v/>
      </c>
      <c r="I34" s="51" t="str">
        <f>IF(ISBLANK(Data!O68),"",Data!O68)</f>
        <v/>
      </c>
      <c r="J34" s="52" t="str">
        <f>IF(ISBLANK(Data!P68),"",Data!P68)</f>
        <v/>
      </c>
      <c r="K34" s="50" t="str">
        <f>IF(ISBLANK(Data!V108),"",Data!V108)</f>
        <v/>
      </c>
      <c r="L34" s="52" t="str">
        <f>IF(ISBLANK(Data!W108),"",Data!W108)</f>
        <v/>
      </c>
      <c r="M34" s="53" t="str">
        <f>IF(ISBLANK(Data!X108),"",Data!X108)</f>
        <v/>
      </c>
      <c r="N34" s="54" t="str">
        <f>IF(ISBLANK(Data!Y108),"",Data!Y108)</f>
        <v/>
      </c>
      <c r="O34" s="53" t="str">
        <f>IF(ISBLANK(Data!Z108),"",Data!Z108)</f>
        <v/>
      </c>
      <c r="P34" s="54" t="str">
        <f>IF(ISBLANK(Data!AA108),"",Data!AA108)</f>
        <v/>
      </c>
      <c r="Q34" s="60" t="str">
        <f>IF(Data!G31="","",IF(Data!G31=0,1080,Data!G31))</f>
        <v/>
      </c>
      <c r="R34" s="61" t="str">
        <f>IF(ISBLANK(Data!H31),"",Data!H31)</f>
        <v/>
      </c>
      <c r="S34" s="57">
        <f t="shared" si="3"/>
        <v>1</v>
      </c>
      <c r="T34" s="58">
        <f t="shared" si="4"/>
        <v>1</v>
      </c>
      <c r="X34" s="16">
        <f t="shared" si="0"/>
        <v>1</v>
      </c>
      <c r="Y34" s="16">
        <f t="shared" si="1"/>
        <v>1</v>
      </c>
    </row>
    <row r="35" spans="2:25" ht="14.1" customHeight="1" x14ac:dyDescent="0.25">
      <c r="B35" s="59">
        <f t="shared" si="2"/>
        <v>27</v>
      </c>
      <c r="C35" s="39"/>
      <c r="D35" s="40"/>
      <c r="E35" s="40"/>
      <c r="F35" s="41"/>
      <c r="G35" s="50" t="str">
        <f>IF(ISBLANK(Data!M69),"",Data!M69)</f>
        <v/>
      </c>
      <c r="H35" s="51" t="str">
        <f>IF(ISBLANK(Data!N69),"",IF(Data!N69=2,0,Data!N69))</f>
        <v/>
      </c>
      <c r="I35" s="51" t="str">
        <f>IF(ISBLANK(Data!O69),"",Data!O69)</f>
        <v/>
      </c>
      <c r="J35" s="52" t="str">
        <f>IF(ISBLANK(Data!P69),"",Data!P69)</f>
        <v/>
      </c>
      <c r="K35" s="50" t="str">
        <f>IF(ISBLANK(Data!V109),"",Data!V109)</f>
        <v/>
      </c>
      <c r="L35" s="52" t="str">
        <f>IF(ISBLANK(Data!W109),"",Data!W109)</f>
        <v/>
      </c>
      <c r="M35" s="53" t="str">
        <f>IF(ISBLANK(Data!X109),"",Data!X109)</f>
        <v/>
      </c>
      <c r="N35" s="54" t="str">
        <f>IF(ISBLANK(Data!Y109),"",Data!Y109)</f>
        <v/>
      </c>
      <c r="O35" s="53" t="str">
        <f>IF(ISBLANK(Data!Z109),"",Data!Z109)</f>
        <v/>
      </c>
      <c r="P35" s="54" t="str">
        <f>IF(ISBLANK(Data!AA109),"",Data!AA109)</f>
        <v/>
      </c>
      <c r="Q35" s="60" t="str">
        <f>IF(Data!G32="","",IF(Data!G32=0,1080,Data!G32))</f>
        <v/>
      </c>
      <c r="R35" s="61" t="str">
        <f>IF(ISBLANK(Data!H32),"",Data!H32)</f>
        <v/>
      </c>
      <c r="S35" s="57">
        <f t="shared" si="3"/>
        <v>1</v>
      </c>
      <c r="T35" s="58">
        <f t="shared" si="4"/>
        <v>1</v>
      </c>
      <c r="X35" s="16">
        <f t="shared" si="0"/>
        <v>1</v>
      </c>
      <c r="Y35" s="16">
        <f t="shared" si="1"/>
        <v>1</v>
      </c>
    </row>
    <row r="36" spans="2:25" ht="14.1" customHeight="1" x14ac:dyDescent="0.25">
      <c r="B36" s="59">
        <f t="shared" si="2"/>
        <v>28</v>
      </c>
      <c r="C36" s="39"/>
      <c r="D36" s="40"/>
      <c r="E36" s="40"/>
      <c r="F36" s="41"/>
      <c r="G36" s="50" t="str">
        <f>IF(ISBLANK(Data!M70),"",Data!M70)</f>
        <v/>
      </c>
      <c r="H36" s="51" t="str">
        <f>IF(ISBLANK(Data!N70),"",IF(Data!N70=2,0,Data!N70))</f>
        <v/>
      </c>
      <c r="I36" s="51" t="str">
        <f>IF(ISBLANK(Data!O70),"",Data!O70)</f>
        <v/>
      </c>
      <c r="J36" s="52" t="str">
        <f>IF(ISBLANK(Data!P70),"",Data!P70)</f>
        <v/>
      </c>
      <c r="K36" s="50" t="str">
        <f>IF(ISBLANK(Data!V110),"",Data!V110)</f>
        <v/>
      </c>
      <c r="L36" s="52" t="str">
        <f>IF(ISBLANK(Data!W110),"",Data!W110)</f>
        <v/>
      </c>
      <c r="M36" s="53" t="str">
        <f>IF(ISBLANK(Data!X110),"",Data!X110)</f>
        <v/>
      </c>
      <c r="N36" s="54" t="str">
        <f>IF(ISBLANK(Data!Y110),"",Data!Y110)</f>
        <v/>
      </c>
      <c r="O36" s="53" t="str">
        <f>IF(ISBLANK(Data!Z110),"",Data!Z110)</f>
        <v/>
      </c>
      <c r="P36" s="54" t="str">
        <f>IF(ISBLANK(Data!AA110),"",Data!AA110)</f>
        <v/>
      </c>
      <c r="Q36" s="60" t="str">
        <f>IF(Data!G33="","",IF(Data!G33=0,1080,Data!G33))</f>
        <v/>
      </c>
      <c r="R36" s="61" t="str">
        <f>IF(ISBLANK(Data!H33),"",Data!H33)</f>
        <v/>
      </c>
      <c r="S36" s="57">
        <f t="shared" si="3"/>
        <v>1</v>
      </c>
      <c r="T36" s="58">
        <f t="shared" si="4"/>
        <v>1</v>
      </c>
      <c r="X36" s="16">
        <f t="shared" si="0"/>
        <v>1</v>
      </c>
      <c r="Y36" s="16">
        <f t="shared" si="1"/>
        <v>1</v>
      </c>
    </row>
    <row r="37" spans="2:25" ht="14.1" customHeight="1" x14ac:dyDescent="0.25">
      <c r="B37" s="59">
        <f t="shared" si="2"/>
        <v>29</v>
      </c>
      <c r="C37" s="39"/>
      <c r="D37" s="40"/>
      <c r="E37" s="40"/>
      <c r="F37" s="41"/>
      <c r="G37" s="50" t="str">
        <f>IF(ISBLANK(Data!M71),"",Data!M71)</f>
        <v/>
      </c>
      <c r="H37" s="51" t="str">
        <f>IF(ISBLANK(Data!N71),"",IF(Data!N71=2,0,Data!N71))</f>
        <v/>
      </c>
      <c r="I37" s="51" t="str">
        <f>IF(ISBLANK(Data!O71),"",Data!O71)</f>
        <v/>
      </c>
      <c r="J37" s="52" t="str">
        <f>IF(ISBLANK(Data!P71),"",Data!P71)</f>
        <v/>
      </c>
      <c r="K37" s="50" t="str">
        <f>IF(ISBLANK(Data!V111),"",Data!V111)</f>
        <v/>
      </c>
      <c r="L37" s="52" t="str">
        <f>IF(ISBLANK(Data!W111),"",Data!W111)</f>
        <v/>
      </c>
      <c r="M37" s="53" t="str">
        <f>IF(ISBLANK(Data!X111),"",Data!X111)</f>
        <v/>
      </c>
      <c r="N37" s="54" t="str">
        <f>IF(ISBLANK(Data!Y111),"",Data!Y111)</f>
        <v/>
      </c>
      <c r="O37" s="53" t="str">
        <f>IF(ISBLANK(Data!Z111),"",Data!Z111)</f>
        <v/>
      </c>
      <c r="P37" s="54" t="str">
        <f>IF(ISBLANK(Data!AA111),"",Data!AA111)</f>
        <v/>
      </c>
      <c r="Q37" s="60" t="str">
        <f>IF(Data!G34="","",IF(Data!G34=0,1080,Data!G34))</f>
        <v/>
      </c>
      <c r="R37" s="61" t="str">
        <f>IF(ISBLANK(Data!H34),"",Data!H34)</f>
        <v/>
      </c>
      <c r="S37" s="57">
        <f t="shared" si="3"/>
        <v>1</v>
      </c>
      <c r="T37" s="58">
        <f t="shared" si="4"/>
        <v>1</v>
      </c>
      <c r="X37" s="16">
        <f t="shared" si="0"/>
        <v>1</v>
      </c>
      <c r="Y37" s="16">
        <f t="shared" si="1"/>
        <v>1</v>
      </c>
    </row>
    <row r="38" spans="2:25" ht="14.1" customHeight="1" x14ac:dyDescent="0.25">
      <c r="B38" s="59">
        <f t="shared" si="2"/>
        <v>30</v>
      </c>
      <c r="C38" s="39"/>
      <c r="D38" s="40"/>
      <c r="E38" s="40"/>
      <c r="F38" s="41"/>
      <c r="G38" s="50" t="str">
        <f>IF(ISBLANK(Data!M72),"",Data!M72)</f>
        <v/>
      </c>
      <c r="H38" s="51" t="str">
        <f>IF(ISBLANK(Data!N72),"",IF(Data!N72=2,0,Data!N72))</f>
        <v/>
      </c>
      <c r="I38" s="51" t="str">
        <f>IF(ISBLANK(Data!O72),"",Data!O72)</f>
        <v/>
      </c>
      <c r="J38" s="52" t="str">
        <f>IF(ISBLANK(Data!P72),"",Data!P72)</f>
        <v/>
      </c>
      <c r="K38" s="50" t="str">
        <f>IF(ISBLANK(Data!V112),"",Data!V112)</f>
        <v/>
      </c>
      <c r="L38" s="52" t="str">
        <f>IF(ISBLANK(Data!W112),"",Data!W112)</f>
        <v/>
      </c>
      <c r="M38" s="53" t="str">
        <f>IF(ISBLANK(Data!X112),"",Data!X112)</f>
        <v/>
      </c>
      <c r="N38" s="54" t="str">
        <f>IF(ISBLANK(Data!Y112),"",Data!Y112)</f>
        <v/>
      </c>
      <c r="O38" s="53" t="str">
        <f>IF(ISBLANK(Data!Z112),"",Data!Z112)</f>
        <v/>
      </c>
      <c r="P38" s="54" t="str">
        <f>IF(ISBLANK(Data!AA112),"",Data!AA112)</f>
        <v/>
      </c>
      <c r="Q38" s="60" t="str">
        <f>IF(Data!G35="","",IF(Data!G35=0,1080,Data!G35))</f>
        <v/>
      </c>
      <c r="R38" s="61" t="str">
        <f>IF(ISBLANK(Data!H35),"",Data!H35)</f>
        <v/>
      </c>
      <c r="S38" s="57">
        <f t="shared" si="3"/>
        <v>1</v>
      </c>
      <c r="T38" s="58">
        <f t="shared" si="4"/>
        <v>1</v>
      </c>
      <c r="X38" s="16">
        <f t="shared" si="0"/>
        <v>1</v>
      </c>
      <c r="Y38" s="16">
        <f t="shared" si="1"/>
        <v>1</v>
      </c>
    </row>
    <row r="39" spans="2:25" ht="14.1" customHeight="1" thickBot="1" x14ac:dyDescent="0.3">
      <c r="B39" s="62">
        <f t="shared" si="2"/>
        <v>31</v>
      </c>
      <c r="C39" s="42"/>
      <c r="D39" s="43"/>
      <c r="E39" s="43"/>
      <c r="F39" s="44"/>
      <c r="G39" s="63" t="str">
        <f>IF(ISBLANK(Data!M73),"",Data!M73)</f>
        <v/>
      </c>
      <c r="H39" s="64" t="str">
        <f>IF(ISBLANK(Data!N73),"",IF(Data!N73=2,0,Data!N73))</f>
        <v/>
      </c>
      <c r="I39" s="64" t="str">
        <f>IF(ISBLANK(Data!O73),"",Data!O73)</f>
        <v/>
      </c>
      <c r="J39" s="65" t="str">
        <f>IF(ISBLANK(Data!P73),"",Data!P73)</f>
        <v/>
      </c>
      <c r="K39" s="63" t="str">
        <f>IF(ISBLANK(Data!V113),"",Data!V113)</f>
        <v/>
      </c>
      <c r="L39" s="65" t="str">
        <f>IF(ISBLANK(Data!W113),"",Data!W113)</f>
        <v/>
      </c>
      <c r="M39" s="66" t="str">
        <f>IF(ISBLANK(Data!X113),"",Data!X113)</f>
        <v/>
      </c>
      <c r="N39" s="67" t="str">
        <f>IF(ISBLANK(Data!Y113),"",Data!Y113)</f>
        <v/>
      </c>
      <c r="O39" s="66" t="str">
        <f>IF(ISBLANK(Data!Z113),"",Data!Z113)</f>
        <v/>
      </c>
      <c r="P39" s="67" t="str">
        <f>IF(ISBLANK(Data!AA113),"",Data!AA113)</f>
        <v/>
      </c>
      <c r="Q39" s="68" t="str">
        <f>IF(Data!G36="","",IF(Data!G36=0,1080,Data!G36))</f>
        <v/>
      </c>
      <c r="R39" s="69" t="str">
        <f>IF(ISBLANK(Data!H36),"",Data!H36)</f>
        <v/>
      </c>
      <c r="S39" s="70">
        <f t="shared" si="3"/>
        <v>1</v>
      </c>
      <c r="T39" s="71">
        <f t="shared" si="4"/>
        <v>1</v>
      </c>
      <c r="X39" s="16">
        <f t="shared" si="0"/>
        <v>1</v>
      </c>
      <c r="Y39" s="16">
        <f t="shared" si="1"/>
        <v>1</v>
      </c>
    </row>
    <row r="40" spans="2:25" ht="14.1" customHeight="1" x14ac:dyDescent="0.25">
      <c r="V40" s="5"/>
      <c r="W40" s="5"/>
    </row>
    <row r="41" spans="2:25" ht="14.1" customHeight="1" thickBot="1" x14ac:dyDescent="0.3"/>
    <row r="42" spans="2:25" ht="14.1" customHeight="1" thickBot="1" x14ac:dyDescent="0.3">
      <c r="B42" s="309" t="s">
        <v>5</v>
      </c>
      <c r="C42" s="312" t="s">
        <v>117</v>
      </c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4"/>
    </row>
    <row r="43" spans="2:25" ht="14.1" customHeight="1" thickBot="1" x14ac:dyDescent="0.3">
      <c r="B43" s="310"/>
      <c r="C43" s="315" t="s">
        <v>115</v>
      </c>
      <c r="D43" s="316"/>
      <c r="E43" s="316"/>
      <c r="F43" s="317"/>
      <c r="G43" s="318" t="s">
        <v>116</v>
      </c>
      <c r="H43" s="319"/>
      <c r="I43" s="319"/>
      <c r="J43" s="320"/>
      <c r="K43" s="312" t="s">
        <v>42</v>
      </c>
      <c r="L43" s="313"/>
      <c r="M43" s="313"/>
      <c r="N43" s="313"/>
      <c r="O43" s="313"/>
      <c r="P43" s="313"/>
      <c r="Q43" s="313"/>
      <c r="R43" s="314"/>
      <c r="S43" s="321"/>
      <c r="T43" s="322"/>
    </row>
    <row r="44" spans="2:25" ht="14.1" customHeight="1" x14ac:dyDescent="0.25">
      <c r="B44" s="310"/>
      <c r="C44" s="323" t="s">
        <v>98</v>
      </c>
      <c r="D44" s="324" t="s">
        <v>24</v>
      </c>
      <c r="E44" s="324" t="s">
        <v>99</v>
      </c>
      <c r="F44" s="325" t="s">
        <v>39</v>
      </c>
      <c r="G44" s="323" t="s">
        <v>98</v>
      </c>
      <c r="H44" s="324" t="s">
        <v>24</v>
      </c>
      <c r="I44" s="324" t="s">
        <v>99</v>
      </c>
      <c r="J44" s="325" t="s">
        <v>39</v>
      </c>
      <c r="K44" s="330" t="s">
        <v>9</v>
      </c>
      <c r="L44" s="331"/>
      <c r="M44" s="330" t="s">
        <v>10</v>
      </c>
      <c r="N44" s="331"/>
      <c r="O44" s="330" t="s">
        <v>11</v>
      </c>
      <c r="P44" s="331"/>
      <c r="Q44" s="318" t="s">
        <v>41</v>
      </c>
      <c r="R44" s="320"/>
      <c r="S44" s="326" t="s">
        <v>33</v>
      </c>
      <c r="T44" s="328" t="s">
        <v>27</v>
      </c>
    </row>
    <row r="45" spans="2:25" ht="14.1" customHeight="1" thickBot="1" x14ac:dyDescent="0.3">
      <c r="B45" s="311"/>
      <c r="C45" s="323"/>
      <c r="D45" s="324"/>
      <c r="E45" s="324"/>
      <c r="F45" s="325"/>
      <c r="G45" s="323"/>
      <c r="H45" s="324"/>
      <c r="I45" s="324"/>
      <c r="J45" s="325"/>
      <c r="K45" s="45" t="s">
        <v>23</v>
      </c>
      <c r="L45" s="46" t="s">
        <v>24</v>
      </c>
      <c r="M45" s="45" t="s">
        <v>23</v>
      </c>
      <c r="N45" s="46" t="s">
        <v>24</v>
      </c>
      <c r="O45" s="45" t="s">
        <v>23</v>
      </c>
      <c r="P45" s="46" t="s">
        <v>24</v>
      </c>
      <c r="Q45" s="47" t="s">
        <v>23</v>
      </c>
      <c r="R45" s="48" t="s">
        <v>39</v>
      </c>
      <c r="S45" s="327"/>
      <c r="T45" s="329"/>
    </row>
    <row r="46" spans="2:25" ht="14.1" customHeight="1" x14ac:dyDescent="0.25">
      <c r="B46" s="49">
        <v>1</v>
      </c>
      <c r="C46" s="39"/>
      <c r="D46" s="40"/>
      <c r="E46" s="40"/>
      <c r="F46" s="41"/>
      <c r="G46" s="50" t="str">
        <f>IF(ISBLANK(Data!M43),"",Data!M43)</f>
        <v/>
      </c>
      <c r="H46" s="51" t="str">
        <f>IF(ISBLANK(Data!N43),"",IF(Data!N43=2,0,Data!N43))</f>
        <v/>
      </c>
      <c r="I46" s="51" t="str">
        <f>IF(ISBLANK(Data!O43),"",Data!O43)</f>
        <v/>
      </c>
      <c r="J46" s="52" t="str">
        <f>IF(ISBLANK(Data!P43),"",Data!P43)</f>
        <v/>
      </c>
      <c r="K46" s="50" t="str">
        <f>IF(ISBLANK(Data!AB83),"",Data!AB83)</f>
        <v/>
      </c>
      <c r="L46" s="52" t="str">
        <f>IF(ISBLANK(Data!AC83),"",Data!AC83)</f>
        <v/>
      </c>
      <c r="M46" s="53" t="str">
        <f>IF(ISBLANK(Data!AD83),"",Data!AD83)</f>
        <v/>
      </c>
      <c r="N46" s="54" t="str">
        <f>IF(ISBLANK(Data!AE83),"",Data!AE83)</f>
        <v/>
      </c>
      <c r="O46" s="53" t="str">
        <f>IF(ISBLANK(Data!AF83),"",Data!AF83)</f>
        <v/>
      </c>
      <c r="P46" s="54" t="str">
        <f>IF(ISBLANK(Data!AG83),"",Data!AG83)</f>
        <v/>
      </c>
      <c r="Q46" s="55" t="str">
        <f>IF(Data!I6="","",IF(Data!I6=0,1080,Data!I6))</f>
        <v/>
      </c>
      <c r="R46" s="56" t="str">
        <f>IF(ISBLANK(Data!J6),"",Data!J6)</f>
        <v/>
      </c>
      <c r="S46" s="21">
        <f><![CDATA[IF(OR(C46="",E46="",Q46="",C46=1080,E46=1080,Q46=1080),0.5,IF(OR(K46=C46,K46=E46,M46=C46,M46=E46,O46=C46,O46=E46,MIN(ABS(Q46-C46),ABS(360-Q46+E46))<=45),0.5,IF(OR(IF(ISNUMBER(K46),OR(MIN(ABS(K46-C46),ABS(360-K46+C46))<=45,MIN(ABS(K46-E46),ABS(360-K46+E46))<=45),FALSE),IF(ISNUMBER(M46),OR(MIN(ABS(M46-C46),ABS(360-M46+C46))<=45,MIN(ABS(M46-E46),ABS(360-M46+E46))<=45),FALSE),IF(ISNUMBER(O46),OR(MIN(ABS(O46-C46),ABS(360-O46+C46))<=45,MIN(ABS(O46-E46),ABS(360-O46+E46))<=45),FALSE),MIN(ABS(Q46-C46),ABS(360-Q46+C46))<=90,MIN(ABS(Q46-E46),ABS(360-Q46+E46))<=90),0.25,0)))+IF(OR(R46="",D46="",F46=""),0.5,IF(AND(R46>=D46,R46<=F46),0.5,IF(AND(R46>=(D46-5),R46<=(F46+5)),0.25,0)))]]></f>
        <v>1</v>
      </c>
      <c r="T46" s="58">
        <f><![CDATA[IF(OR(G46="",I46="",Q46="",G46=1080,I46=1080,Q46=1080),0.5,IF(OR(K46=G46,K46=I46,M46=G46,M46=I46,O46=G46,O46=I46,MIN(ABS(Q46-G46),ABS(360-Q46+I46))<=45),0.5,IF(OR(IF(ISNUMBER(K46),OR(MIN(ABS(K46-G46),ABS(360-K46+G46))<=45,MIN(ABS(K46-I46),ABS(360-K46+I46))<=45),FALSE),IF(ISNUMBER(M46),OR(MIN(ABS(M46-G46),ABS(360-M46+G46))<=45,MIN(ABS(M46-I46),ABS(360-M46+I46))<=45),FALSE),IF(ISNUMBER(O46),OR(MIN(ABS(O46-G46),ABS(360-O46+G46))<=45,MIN(ABS(O46-I46),ABS(360-O46+I46))<=45),FALSE),MIN(ABS(Q46-G46),ABS(360-Q46+G46))<=90,MIN(ABS(Q46-I46),ABS(360-Q46+I46))<=90),0.25,0)))+IF(OR(R46="",H46="",J46=""),0.5,IF(AND(R46>=H46,R46<=J46),0.5,IF(AND(R46>=(H46-5),R46<=(J46+5)),0.25,0)))]]></f>
        <v>1</v>
      </c>
    </row>
    <row r="47" spans="2:25" ht="14.1" customHeight="1" x14ac:dyDescent="0.25">
      <c r="B47" s="59">
        <f t="shared" ref="B47:B76" si="5">B46+1</f>
        <v>2</v>
      </c>
      <c r="C47" s="39"/>
      <c r="D47" s="40"/>
      <c r="E47" s="40"/>
      <c r="F47" s="41"/>
      <c r="G47" s="50" t="str">
        <f>IF(ISBLANK(Data!M44),"",Data!M44)</f>
        <v/>
      </c>
      <c r="H47" s="51" t="str">
        <f>IF(ISBLANK(Data!N44),"",IF(Data!N44=2,0,Data!N44))</f>
        <v/>
      </c>
      <c r="I47" s="51" t="str">
        <f>IF(ISBLANK(Data!O44),"",Data!O44)</f>
        <v/>
      </c>
      <c r="J47" s="52" t="str">
        <f>IF(ISBLANK(Data!P44),"",Data!P44)</f>
        <v/>
      </c>
      <c r="K47" s="50" t="str">
        <f>IF(ISBLANK(Data!AB84),"",Data!AB84)</f>
        <v/>
      </c>
      <c r="L47" s="52" t="str">
        <f>IF(ISBLANK(Data!AC84),"",Data!AC84)</f>
        <v/>
      </c>
      <c r="M47" s="53" t="str">
        <f>IF(ISBLANK(Data!AD84),"",Data!AD84)</f>
        <v/>
      </c>
      <c r="N47" s="54" t="str">
        <f>IF(ISBLANK(Data!AE84),"",Data!AE84)</f>
        <v/>
      </c>
      <c r="O47" s="53" t="str">
        <f>IF(ISBLANK(Data!AF84),"",Data!AF84)</f>
        <v/>
      </c>
      <c r="P47" s="54" t="str">
        <f>IF(ISBLANK(Data!AG84),"",Data!AG84)</f>
        <v/>
      </c>
      <c r="Q47" s="60" t="str">
        <f>IF(Data!I7="","",IF(Data!I7=0,1080,Data!I7))</f>
        <v/>
      </c>
      <c r="R47" s="61" t="str">
        <f>IF(ISBLANK(Data!J7),"",Data!J7)</f>
        <v/>
      </c>
      <c r="S47" s="21">
        <f t="shared" ref="S47:S76" si="6"><![CDATA[IF(OR(C47="",E47="",Q47="",C47=1080,E47=1080,Q47=1080),0.5,IF(OR(K47=C47,K47=E47,M47=C47,M47=E47,O47=C47,O47=E47,MIN(ABS(Q47-C47),ABS(360-Q47+E47))<=45),0.5,IF(OR(IF(ISNUMBER(K47),OR(MIN(ABS(K47-C47),ABS(360-K47+C47))<=45,MIN(ABS(K47-E47),ABS(360-K47+E47))<=45),FALSE),IF(ISNUMBER(M47),OR(MIN(ABS(M47-C47),ABS(360-M47+C47))<=45,MIN(ABS(M47-E47),ABS(360-M47+E47))<=45),FALSE),IF(ISNUMBER(O47),OR(MIN(ABS(O47-C47),ABS(360-O47+C47))<=45,MIN(ABS(O47-E47),ABS(360-O47+E47))<=45),FALSE),MIN(ABS(Q47-C47),ABS(360-Q47+C47))<=90,MIN(ABS(Q47-E47),ABS(360-Q47+E47))<=90),0.25,0)))+IF(OR(R47="",D47="",F47=""),0.5,IF(AND(R47>=D47,R47<=F47),0.5,IF(AND(R47>=(D47-5),R47<=(F47+5)),0.25,0)))]]></f>
        <v>1</v>
      </c>
      <c r="T47" s="58">
        <f t="shared" ref="T47:T76" si="7"><![CDATA[IF(OR(G47="",I47="",Q47="",G47=1080,I47=1080,Q47=1080),0.5,IF(OR(K47=G47,K47=I47,M47=G47,M47=I47,O47=G47,O47=I47,MIN(ABS(Q47-G47),ABS(360-Q47+I47))<=45),0.5,IF(OR(IF(ISNUMBER(K47),OR(MIN(ABS(K47-G47),ABS(360-K47+G47))<=45,MIN(ABS(K47-I47),ABS(360-K47+I47))<=45),FALSE),IF(ISNUMBER(M47),OR(MIN(ABS(M47-G47),ABS(360-M47+G47))<=45,MIN(ABS(M47-I47),ABS(360-M47+I47))<=45),FALSE),IF(ISNUMBER(O47),OR(MIN(ABS(O47-G47),ABS(360-O47+G47))<=45,MIN(ABS(O47-I47),ABS(360-O47+I47))<=45),FALSE),MIN(ABS(Q47-G47),ABS(360-Q47+G47))<=90,MIN(ABS(Q47-I47),ABS(360-Q47+I47))<=90),0.25,0)))+IF(OR(R47="",H47="",J47=""),0.5,IF(AND(R47>=H47,R47<=J47),0.5,IF(AND(R47>=(H47-5),R47<=(J47+5)),0.25,0)))]]></f>
        <v>1</v>
      </c>
    </row>
    <row r="48" spans="2:25" ht="14.1" customHeight="1" x14ac:dyDescent="0.25">
      <c r="B48" s="59">
        <f t="shared" si="5"/>
        <v>3</v>
      </c>
      <c r="C48" s="39"/>
      <c r="D48" s="40"/>
      <c r="E48" s="40"/>
      <c r="F48" s="41"/>
      <c r="G48" s="50" t="str">
        <f>IF(ISBLANK(Data!M45),"",Data!M45)</f>
        <v/>
      </c>
      <c r="H48" s="51" t="str">
        <f>IF(ISBLANK(Data!N45),"",IF(Data!N45=2,0,Data!N45))</f>
        <v/>
      </c>
      <c r="I48" s="51" t="str">
        <f>IF(ISBLANK(Data!O45),"",Data!O45)</f>
        <v/>
      </c>
      <c r="J48" s="52" t="str">
        <f>IF(ISBLANK(Data!P45),"",Data!P45)</f>
        <v/>
      </c>
      <c r="K48" s="50" t="str">
        <f>IF(ISBLANK(Data!AB85),"",Data!AB85)</f>
        <v/>
      </c>
      <c r="L48" s="52" t="str">
        <f>IF(ISBLANK(Data!AC85),"",Data!AC85)</f>
        <v/>
      </c>
      <c r="M48" s="53" t="str">
        <f>IF(ISBLANK(Data!AD85),"",Data!AD85)</f>
        <v/>
      </c>
      <c r="N48" s="54" t="str">
        <f>IF(ISBLANK(Data!AE85),"",Data!AE85)</f>
        <v/>
      </c>
      <c r="O48" s="53" t="str">
        <f>IF(ISBLANK(Data!AF85),"",Data!AF85)</f>
        <v/>
      </c>
      <c r="P48" s="54" t="str">
        <f>IF(ISBLANK(Data!AG85),"",Data!AG85)</f>
        <v/>
      </c>
      <c r="Q48" s="60" t="str">
        <f>IF(Data!I8="","",IF(Data!I8=0,1080,Data!I8))</f>
        <v/>
      </c>
      <c r="R48" s="61" t="str">
        <f>IF(ISBLANK(Data!J8),"",Data!J8)</f>
        <v/>
      </c>
      <c r="S48" s="21">
        <f t="shared" si="6"/>
        <v>1</v>
      </c>
      <c r="T48" s="58">
        <f t="shared" si="7"/>
        <v>1</v>
      </c>
    </row>
    <row r="49" spans="2:20" ht="14.1" customHeight="1" x14ac:dyDescent="0.25">
      <c r="B49" s="59">
        <f t="shared" si="5"/>
        <v>4</v>
      </c>
      <c r="C49" s="39"/>
      <c r="D49" s="40"/>
      <c r="E49" s="40"/>
      <c r="F49" s="41"/>
      <c r="G49" s="50" t="str">
        <f>IF(ISBLANK(Data!M46),"",Data!M46)</f>
        <v/>
      </c>
      <c r="H49" s="51" t="str">
        <f>IF(ISBLANK(Data!N46),"",IF(Data!N46=2,0,Data!N46))</f>
        <v/>
      </c>
      <c r="I49" s="51" t="str">
        <f>IF(ISBLANK(Data!O46),"",Data!O46)</f>
        <v/>
      </c>
      <c r="J49" s="52" t="str">
        <f>IF(ISBLANK(Data!P46),"",Data!P46)</f>
        <v/>
      </c>
      <c r="K49" s="50" t="str">
        <f>IF(ISBLANK(Data!AB86),"",Data!AB86)</f>
        <v/>
      </c>
      <c r="L49" s="52" t="str">
        <f>IF(ISBLANK(Data!AC86),"",Data!AC86)</f>
        <v/>
      </c>
      <c r="M49" s="53" t="str">
        <f>IF(ISBLANK(Data!AD86),"",Data!AD86)</f>
        <v/>
      </c>
      <c r="N49" s="54" t="str">
        <f>IF(ISBLANK(Data!AE86),"",Data!AE86)</f>
        <v/>
      </c>
      <c r="O49" s="53" t="str">
        <f>IF(ISBLANK(Data!AF86),"",Data!AF86)</f>
        <v/>
      </c>
      <c r="P49" s="54" t="str">
        <f>IF(ISBLANK(Data!AG86),"",Data!AG86)</f>
        <v/>
      </c>
      <c r="Q49" s="60" t="str">
        <f>IF(Data!I9="","",IF(Data!I9=0,1080,Data!I9))</f>
        <v/>
      </c>
      <c r="R49" s="61" t="str">
        <f>IF(ISBLANK(Data!J9),"",Data!J9)</f>
        <v/>
      </c>
      <c r="S49" s="21">
        <f t="shared" si="6"/>
        <v>1</v>
      </c>
      <c r="T49" s="58">
        <f t="shared" si="7"/>
        <v>1</v>
      </c>
    </row>
    <row r="50" spans="2:20" ht="14.1" customHeight="1" x14ac:dyDescent="0.25">
      <c r="B50" s="59">
        <f t="shared" si="5"/>
        <v>5</v>
      </c>
      <c r="C50" s="39"/>
      <c r="D50" s="40"/>
      <c r="E50" s="40"/>
      <c r="F50" s="41"/>
      <c r="G50" s="50" t="str">
        <f>IF(ISBLANK(Data!M47),"",Data!M47)</f>
        <v/>
      </c>
      <c r="H50" s="51" t="str">
        <f>IF(ISBLANK(Data!N47),"",IF(Data!N47=2,0,Data!N47))</f>
        <v/>
      </c>
      <c r="I50" s="51" t="str">
        <f>IF(ISBLANK(Data!O47),"",Data!O47)</f>
        <v/>
      </c>
      <c r="J50" s="52" t="str">
        <f>IF(ISBLANK(Data!P47),"",Data!P47)</f>
        <v/>
      </c>
      <c r="K50" s="50" t="str">
        <f>IF(ISBLANK(Data!AB87),"",Data!AB87)</f>
        <v/>
      </c>
      <c r="L50" s="52" t="str">
        <f>IF(ISBLANK(Data!AC87),"",Data!AC87)</f>
        <v/>
      </c>
      <c r="M50" s="53" t="str">
        <f>IF(ISBLANK(Data!AD87),"",Data!AD87)</f>
        <v/>
      </c>
      <c r="N50" s="54" t="str">
        <f>IF(ISBLANK(Data!AE87),"",Data!AE87)</f>
        <v/>
      </c>
      <c r="O50" s="53" t="str">
        <f>IF(ISBLANK(Data!AF87),"",Data!AF87)</f>
        <v/>
      </c>
      <c r="P50" s="54" t="str">
        <f>IF(ISBLANK(Data!AG87),"",Data!AG87)</f>
        <v/>
      </c>
      <c r="Q50" s="60" t="str">
        <f>IF(Data!I10="","",IF(Data!I10=0,1080,Data!I10))</f>
        <v/>
      </c>
      <c r="R50" s="61" t="str">
        <f>IF(ISBLANK(Data!J10),"",Data!J10)</f>
        <v/>
      </c>
      <c r="S50" s="21">
        <f t="shared" si="6"/>
        <v>1</v>
      </c>
      <c r="T50" s="58">
        <f t="shared" si="7"/>
        <v>1</v>
      </c>
    </row>
    <row r="51" spans="2:20" ht="14.1" customHeight="1" x14ac:dyDescent="0.25">
      <c r="B51" s="59">
        <f t="shared" si="5"/>
        <v>6</v>
      </c>
      <c r="C51" s="39"/>
      <c r="D51" s="40"/>
      <c r="E51" s="40"/>
      <c r="F51" s="41"/>
      <c r="G51" s="50" t="str">
        <f>IF(ISBLANK(Data!M48),"",Data!M48)</f>
        <v/>
      </c>
      <c r="H51" s="51" t="str">
        <f>IF(ISBLANK(Data!N48),"",IF(Data!N48=2,0,Data!N48))</f>
        <v/>
      </c>
      <c r="I51" s="51" t="str">
        <f>IF(ISBLANK(Data!O48),"",Data!O48)</f>
        <v/>
      </c>
      <c r="J51" s="52" t="str">
        <f>IF(ISBLANK(Data!P48),"",Data!P48)</f>
        <v/>
      </c>
      <c r="K51" s="50" t="str">
        <f>IF(ISBLANK(Data!AB88),"",Data!AB88)</f>
        <v/>
      </c>
      <c r="L51" s="52" t="str">
        <f>IF(ISBLANK(Data!AC88),"",Data!AC88)</f>
        <v/>
      </c>
      <c r="M51" s="53" t="str">
        <f>IF(ISBLANK(Data!AD88),"",Data!AD88)</f>
        <v/>
      </c>
      <c r="N51" s="54" t="str">
        <f>IF(ISBLANK(Data!AE88),"",Data!AE88)</f>
        <v/>
      </c>
      <c r="O51" s="53" t="str">
        <f>IF(ISBLANK(Data!AF88),"",Data!AF88)</f>
        <v/>
      </c>
      <c r="P51" s="54" t="str">
        <f>IF(ISBLANK(Data!AG88),"",Data!AG88)</f>
        <v/>
      </c>
      <c r="Q51" s="60" t="str">
        <f>IF(Data!I11="","",IF(Data!I11=0,1080,Data!I11))</f>
        <v/>
      </c>
      <c r="R51" s="61" t="str">
        <f>IF(ISBLANK(Data!J11),"",Data!J11)</f>
        <v/>
      </c>
      <c r="S51" s="21">
        <f t="shared" si="6"/>
        <v>1</v>
      </c>
      <c r="T51" s="58">
        <f t="shared" si="7"/>
        <v>1</v>
      </c>
    </row>
    <row r="52" spans="2:20" ht="14.1" customHeight="1" x14ac:dyDescent="0.25">
      <c r="B52" s="59">
        <f t="shared" si="5"/>
        <v>7</v>
      </c>
      <c r="C52" s="39"/>
      <c r="D52" s="40"/>
      <c r="E52" s="40"/>
      <c r="F52" s="41"/>
      <c r="G52" s="50" t="str">
        <f>IF(ISBLANK(Data!M49),"",Data!M49)</f>
        <v/>
      </c>
      <c r="H52" s="51" t="str">
        <f>IF(ISBLANK(Data!N49),"",IF(Data!N49=2,0,Data!N49))</f>
        <v/>
      </c>
      <c r="I52" s="51" t="str">
        <f>IF(ISBLANK(Data!O49),"",Data!O49)</f>
        <v/>
      </c>
      <c r="J52" s="52" t="str">
        <f>IF(ISBLANK(Data!P49),"",Data!P49)</f>
        <v/>
      </c>
      <c r="K52" s="50" t="str">
        <f>IF(ISBLANK(Data!AB89),"",Data!AB89)</f>
        <v/>
      </c>
      <c r="L52" s="52" t="str">
        <f>IF(ISBLANK(Data!AC89),"",Data!AC89)</f>
        <v/>
      </c>
      <c r="M52" s="53" t="str">
        <f>IF(ISBLANK(Data!AD89),"",Data!AD89)</f>
        <v/>
      </c>
      <c r="N52" s="54" t="str">
        <f>IF(ISBLANK(Data!AE89),"",Data!AE89)</f>
        <v/>
      </c>
      <c r="O52" s="53" t="str">
        <f>IF(ISBLANK(Data!AF89),"",Data!AF89)</f>
        <v/>
      </c>
      <c r="P52" s="54" t="str">
        <f>IF(ISBLANK(Data!AG89),"",Data!AG89)</f>
        <v/>
      </c>
      <c r="Q52" s="60" t="str">
        <f>IF(Data!I12="","",IF(Data!I12=0,1080,Data!I12))</f>
        <v/>
      </c>
      <c r="R52" s="61" t="str">
        <f>IF(ISBLANK(Data!J12),"",Data!J12)</f>
        <v/>
      </c>
      <c r="S52" s="21">
        <f t="shared" si="6"/>
        <v>1</v>
      </c>
      <c r="T52" s="58">
        <f t="shared" si="7"/>
        <v>1</v>
      </c>
    </row>
    <row r="53" spans="2:20" ht="14.1" customHeight="1" x14ac:dyDescent="0.25">
      <c r="B53" s="59">
        <f t="shared" si="5"/>
        <v>8</v>
      </c>
      <c r="C53" s="39"/>
      <c r="D53" s="40"/>
      <c r="E53" s="40"/>
      <c r="F53" s="41"/>
      <c r="G53" s="50" t="str">
        <f>IF(ISBLANK(Data!M50),"",Data!M50)</f>
        <v/>
      </c>
      <c r="H53" s="51" t="str">
        <f>IF(ISBLANK(Data!N50),"",IF(Data!N50=2,0,Data!N50))</f>
        <v/>
      </c>
      <c r="I53" s="51" t="str">
        <f>IF(ISBLANK(Data!O50),"",Data!O50)</f>
        <v/>
      </c>
      <c r="J53" s="52" t="str">
        <f>IF(ISBLANK(Data!P50),"",Data!P50)</f>
        <v/>
      </c>
      <c r="K53" s="50" t="str">
        <f>IF(ISBLANK(Data!AB90),"",Data!AB90)</f>
        <v/>
      </c>
      <c r="L53" s="52" t="str">
        <f>IF(ISBLANK(Data!AC90),"",Data!AC90)</f>
        <v/>
      </c>
      <c r="M53" s="53" t="str">
        <f>IF(ISBLANK(Data!AD90),"",Data!AD90)</f>
        <v/>
      </c>
      <c r="N53" s="54" t="str">
        <f>IF(ISBLANK(Data!AE90),"",Data!AE90)</f>
        <v/>
      </c>
      <c r="O53" s="53" t="str">
        <f>IF(ISBLANK(Data!AF90),"",Data!AF90)</f>
        <v/>
      </c>
      <c r="P53" s="54" t="str">
        <f>IF(ISBLANK(Data!AG90),"",Data!AG90)</f>
        <v/>
      </c>
      <c r="Q53" s="60" t="str">
        <f>IF(Data!I13="","",IF(Data!I13=0,1080,Data!I13))</f>
        <v/>
      </c>
      <c r="R53" s="61" t="str">
        <f>IF(ISBLANK(Data!J13),"",Data!J13)</f>
        <v/>
      </c>
      <c r="S53" s="21">
        <f t="shared" si="6"/>
        <v>1</v>
      </c>
      <c r="T53" s="58">
        <f t="shared" si="7"/>
        <v>1</v>
      </c>
    </row>
    <row r="54" spans="2:20" ht="14.1" customHeight="1" x14ac:dyDescent="0.25">
      <c r="B54" s="59">
        <f t="shared" si="5"/>
        <v>9</v>
      </c>
      <c r="C54" s="39"/>
      <c r="D54" s="40"/>
      <c r="E54" s="40"/>
      <c r="F54" s="41"/>
      <c r="G54" s="50" t="str">
        <f>IF(ISBLANK(Data!M51),"",Data!M51)</f>
        <v/>
      </c>
      <c r="H54" s="51" t="str">
        <f>IF(ISBLANK(Data!N51),"",IF(Data!N51=2,0,Data!N51))</f>
        <v/>
      </c>
      <c r="I54" s="51" t="str">
        <f>IF(ISBLANK(Data!O51),"",Data!O51)</f>
        <v/>
      </c>
      <c r="J54" s="52" t="str">
        <f>IF(ISBLANK(Data!P51),"",Data!P51)</f>
        <v/>
      </c>
      <c r="K54" s="50" t="str">
        <f>IF(ISBLANK(Data!AB91),"",Data!AB91)</f>
        <v/>
      </c>
      <c r="L54" s="52" t="str">
        <f>IF(ISBLANK(Data!AC91),"",Data!AC91)</f>
        <v/>
      </c>
      <c r="M54" s="53" t="str">
        <f>IF(ISBLANK(Data!AD91),"",Data!AD91)</f>
        <v/>
      </c>
      <c r="N54" s="54" t="str">
        <f>IF(ISBLANK(Data!AE91),"",Data!AE91)</f>
        <v/>
      </c>
      <c r="O54" s="53" t="str">
        <f>IF(ISBLANK(Data!AF91),"",Data!AF91)</f>
        <v/>
      </c>
      <c r="P54" s="54" t="str">
        <f>IF(ISBLANK(Data!AG91),"",Data!AG91)</f>
        <v/>
      </c>
      <c r="Q54" s="60" t="str">
        <f>IF(Data!I14="","",IF(Data!I14=0,1080,Data!I14))</f>
        <v/>
      </c>
      <c r="R54" s="61" t="str">
        <f>IF(ISBLANK(Data!J14),"",Data!J14)</f>
        <v/>
      </c>
      <c r="S54" s="21">
        <f t="shared" si="6"/>
        <v>1</v>
      </c>
      <c r="T54" s="58">
        <f t="shared" si="7"/>
        <v>1</v>
      </c>
    </row>
    <row r="55" spans="2:20" ht="14.1" customHeight="1" x14ac:dyDescent="0.25">
      <c r="B55" s="59">
        <f t="shared" si="5"/>
        <v>10</v>
      </c>
      <c r="C55" s="39"/>
      <c r="D55" s="40"/>
      <c r="E55" s="40"/>
      <c r="F55" s="41"/>
      <c r="G55" s="50" t="str">
        <f>IF(ISBLANK(Data!M52),"",Data!M52)</f>
        <v/>
      </c>
      <c r="H55" s="51" t="str">
        <f>IF(ISBLANK(Data!N52),"",IF(Data!N52=2,0,Data!N52))</f>
        <v/>
      </c>
      <c r="I55" s="51" t="str">
        <f>IF(ISBLANK(Data!O52),"",Data!O52)</f>
        <v/>
      </c>
      <c r="J55" s="52" t="str">
        <f>IF(ISBLANK(Data!P52),"",Data!P52)</f>
        <v/>
      </c>
      <c r="K55" s="50" t="str">
        <f>IF(ISBLANK(Data!AB92),"",Data!AB92)</f>
        <v/>
      </c>
      <c r="L55" s="52" t="str">
        <f>IF(ISBLANK(Data!AC92),"",Data!AC92)</f>
        <v/>
      </c>
      <c r="M55" s="53" t="str">
        <f>IF(ISBLANK(Data!AD92),"",Data!AD92)</f>
        <v/>
      </c>
      <c r="N55" s="54" t="str">
        <f>IF(ISBLANK(Data!AE92),"",Data!AE92)</f>
        <v/>
      </c>
      <c r="O55" s="53" t="str">
        <f>IF(ISBLANK(Data!AF92),"",Data!AF92)</f>
        <v/>
      </c>
      <c r="P55" s="54" t="str">
        <f>IF(ISBLANK(Data!AG92),"",Data!AG92)</f>
        <v/>
      </c>
      <c r="Q55" s="60" t="str">
        <f>IF(Data!I15="","",IF(Data!I15=0,1080,Data!I15))</f>
        <v/>
      </c>
      <c r="R55" s="61" t="str">
        <f>IF(ISBLANK(Data!J15),"",Data!J15)</f>
        <v/>
      </c>
      <c r="S55" s="21">
        <f t="shared" si="6"/>
        <v>1</v>
      </c>
      <c r="T55" s="58">
        <f t="shared" si="7"/>
        <v>1</v>
      </c>
    </row>
    <row r="56" spans="2:20" ht="14.1" customHeight="1" x14ac:dyDescent="0.25">
      <c r="B56" s="59">
        <f t="shared" si="5"/>
        <v>11</v>
      </c>
      <c r="C56" s="39"/>
      <c r="D56" s="40"/>
      <c r="E56" s="40"/>
      <c r="F56" s="41"/>
      <c r="G56" s="50" t="str">
        <f>IF(ISBLANK(Data!M53),"",Data!M53)</f>
        <v/>
      </c>
      <c r="H56" s="51" t="str">
        <f>IF(ISBLANK(Data!N53),"",IF(Data!N53=2,0,Data!N53))</f>
        <v/>
      </c>
      <c r="I56" s="51" t="str">
        <f>IF(ISBLANK(Data!O53),"",Data!O53)</f>
        <v/>
      </c>
      <c r="J56" s="52" t="str">
        <f>IF(ISBLANK(Data!P53),"",Data!P53)</f>
        <v/>
      </c>
      <c r="K56" s="50" t="str">
        <f>IF(ISBLANK(Data!AB93),"",Data!AB93)</f>
        <v/>
      </c>
      <c r="L56" s="52" t="str">
        <f>IF(ISBLANK(Data!AC93),"",Data!AC93)</f>
        <v/>
      </c>
      <c r="M56" s="53" t="str">
        <f>IF(ISBLANK(Data!AD93),"",Data!AD93)</f>
        <v/>
      </c>
      <c r="N56" s="54" t="str">
        <f>IF(ISBLANK(Data!AE93),"",Data!AE93)</f>
        <v/>
      </c>
      <c r="O56" s="53" t="str">
        <f>IF(ISBLANK(Data!AF93),"",Data!AF93)</f>
        <v/>
      </c>
      <c r="P56" s="54" t="str">
        <f>IF(ISBLANK(Data!AG93),"",Data!AG93)</f>
        <v/>
      </c>
      <c r="Q56" s="60" t="str">
        <f>IF(Data!I16="","",IF(Data!I16=0,1080,Data!I16))</f>
        <v/>
      </c>
      <c r="R56" s="61" t="str">
        <f>IF(ISBLANK(Data!J16),"",Data!J16)</f>
        <v/>
      </c>
      <c r="S56" s="21">
        <f t="shared" si="6"/>
        <v>1</v>
      </c>
      <c r="T56" s="58">
        <f t="shared" si="7"/>
        <v>1</v>
      </c>
    </row>
    <row r="57" spans="2:20" ht="14.1" customHeight="1" x14ac:dyDescent="0.25">
      <c r="B57" s="59">
        <f t="shared" si="5"/>
        <v>12</v>
      </c>
      <c r="C57" s="39"/>
      <c r="D57" s="40"/>
      <c r="E57" s="40"/>
      <c r="F57" s="41"/>
      <c r="G57" s="50" t="str">
        <f>IF(ISBLANK(Data!M54),"",Data!M54)</f>
        <v/>
      </c>
      <c r="H57" s="51" t="str">
        <f>IF(ISBLANK(Data!N54),"",IF(Data!N54=2,0,Data!N54))</f>
        <v/>
      </c>
      <c r="I57" s="51" t="str">
        <f>IF(ISBLANK(Data!O54),"",Data!O54)</f>
        <v/>
      </c>
      <c r="J57" s="52" t="str">
        <f>IF(ISBLANK(Data!P54),"",Data!P54)</f>
        <v/>
      </c>
      <c r="K57" s="50" t="str">
        <f>IF(ISBLANK(Data!AB94),"",Data!AB94)</f>
        <v/>
      </c>
      <c r="L57" s="52" t="str">
        <f>IF(ISBLANK(Data!AC94),"",Data!AC94)</f>
        <v/>
      </c>
      <c r="M57" s="53" t="str">
        <f>IF(ISBLANK(Data!AD94),"",Data!AD94)</f>
        <v/>
      </c>
      <c r="N57" s="54" t="str">
        <f>IF(ISBLANK(Data!AE94),"",Data!AE94)</f>
        <v/>
      </c>
      <c r="O57" s="53" t="str">
        <f>IF(ISBLANK(Data!AF94),"",Data!AF94)</f>
        <v/>
      </c>
      <c r="P57" s="54" t="str">
        <f>IF(ISBLANK(Data!AG94),"",Data!AG94)</f>
        <v/>
      </c>
      <c r="Q57" s="60" t="str">
        <f>IF(Data!I17="","",IF(Data!I17=0,1080,Data!I17))</f>
        <v/>
      </c>
      <c r="R57" s="61" t="str">
        <f>IF(ISBLANK(Data!J17),"",Data!J17)</f>
        <v/>
      </c>
      <c r="S57" s="21">
        <f t="shared" si="6"/>
        <v>1</v>
      </c>
      <c r="T57" s="58">
        <f t="shared" si="7"/>
        <v>1</v>
      </c>
    </row>
    <row r="58" spans="2:20" ht="14.1" customHeight="1" x14ac:dyDescent="0.25">
      <c r="B58" s="59">
        <f t="shared" si="5"/>
        <v>13</v>
      </c>
      <c r="C58" s="39"/>
      <c r="D58" s="40"/>
      <c r="E58" s="40"/>
      <c r="F58" s="41"/>
      <c r="G58" s="50" t="str">
        <f>IF(ISBLANK(Data!M55),"",Data!M55)</f>
        <v/>
      </c>
      <c r="H58" s="51" t="str">
        <f>IF(ISBLANK(Data!N55),"",IF(Data!N55=2,0,Data!N55))</f>
        <v/>
      </c>
      <c r="I58" s="51" t="str">
        <f>IF(ISBLANK(Data!O55),"",Data!O55)</f>
        <v/>
      </c>
      <c r="J58" s="52" t="str">
        <f>IF(ISBLANK(Data!P55),"",Data!P55)</f>
        <v/>
      </c>
      <c r="K58" s="50" t="str">
        <f>IF(ISBLANK(Data!AB95),"",Data!AB95)</f>
        <v/>
      </c>
      <c r="L58" s="52" t="str">
        <f>IF(ISBLANK(Data!AC95),"",Data!AC95)</f>
        <v/>
      </c>
      <c r="M58" s="53" t="str">
        <f>IF(ISBLANK(Data!AD95),"",Data!AD95)</f>
        <v/>
      </c>
      <c r="N58" s="54" t="str">
        <f>IF(ISBLANK(Data!AE95),"",Data!AE95)</f>
        <v/>
      </c>
      <c r="O58" s="53" t="str">
        <f>IF(ISBLANK(Data!AF95),"",Data!AF95)</f>
        <v/>
      </c>
      <c r="P58" s="54" t="str">
        <f>IF(ISBLANK(Data!AG95),"",Data!AG95)</f>
        <v/>
      </c>
      <c r="Q58" s="60" t="str">
        <f>IF(Data!I18="","",IF(Data!I18=0,1080,Data!I18))</f>
        <v/>
      </c>
      <c r="R58" s="61" t="str">
        <f>IF(ISBLANK(Data!J18),"",Data!J18)</f>
        <v/>
      </c>
      <c r="S58" s="21">
        <f t="shared" si="6"/>
        <v>1</v>
      </c>
      <c r="T58" s="58">
        <f t="shared" si="7"/>
        <v>1</v>
      </c>
    </row>
    <row r="59" spans="2:20" ht="14.1" customHeight="1" x14ac:dyDescent="0.25">
      <c r="B59" s="59">
        <f t="shared" si="5"/>
        <v>14</v>
      </c>
      <c r="C59" s="39"/>
      <c r="D59" s="40"/>
      <c r="E59" s="40"/>
      <c r="F59" s="41"/>
      <c r="G59" s="50" t="str">
        <f>IF(ISBLANK(Data!M56),"",Data!M56)</f>
        <v/>
      </c>
      <c r="H59" s="51" t="str">
        <f>IF(ISBLANK(Data!N56),"",IF(Data!N56=2,0,Data!N56))</f>
        <v/>
      </c>
      <c r="I59" s="51" t="str">
        <f>IF(ISBLANK(Data!O56),"",Data!O56)</f>
        <v/>
      </c>
      <c r="J59" s="52" t="str">
        <f>IF(ISBLANK(Data!P56),"",Data!P56)</f>
        <v/>
      </c>
      <c r="K59" s="50" t="str">
        <f>IF(ISBLANK(Data!AB96),"",Data!AB96)</f>
        <v/>
      </c>
      <c r="L59" s="52" t="str">
        <f>IF(ISBLANK(Data!AC96),"",Data!AC96)</f>
        <v/>
      </c>
      <c r="M59" s="53" t="str">
        <f>IF(ISBLANK(Data!AD96),"",Data!AD96)</f>
        <v/>
      </c>
      <c r="N59" s="54" t="str">
        <f>IF(ISBLANK(Data!AE96),"",Data!AE96)</f>
        <v/>
      </c>
      <c r="O59" s="53" t="str">
        <f>IF(ISBLANK(Data!AF96),"",Data!AF96)</f>
        <v/>
      </c>
      <c r="P59" s="54" t="str">
        <f>IF(ISBLANK(Data!AG96),"",Data!AG96)</f>
        <v/>
      </c>
      <c r="Q59" s="60" t="str">
        <f>IF(Data!I19="","",IF(Data!I19=0,1080,Data!I19))</f>
        <v/>
      </c>
      <c r="R59" s="61" t="str">
        <f>IF(ISBLANK(Data!J19),"",Data!J19)</f>
        <v/>
      </c>
      <c r="S59" s="21">
        <f t="shared" si="6"/>
        <v>1</v>
      </c>
      <c r="T59" s="58">
        <f t="shared" si="7"/>
        <v>1</v>
      </c>
    </row>
    <row r="60" spans="2:20" ht="14.1" customHeight="1" x14ac:dyDescent="0.25">
      <c r="B60" s="59">
        <f t="shared" si="5"/>
        <v>15</v>
      </c>
      <c r="C60" s="39"/>
      <c r="D60" s="40"/>
      <c r="E60" s="40"/>
      <c r="F60" s="41"/>
      <c r="G60" s="50" t="str">
        <f>IF(ISBLANK(Data!M57),"",Data!M57)</f>
        <v/>
      </c>
      <c r="H60" s="51" t="str">
        <f>IF(ISBLANK(Data!N57),"",IF(Data!N57=2,0,Data!N57))</f>
        <v/>
      </c>
      <c r="I60" s="51" t="str">
        <f>IF(ISBLANK(Data!O57),"",Data!O57)</f>
        <v/>
      </c>
      <c r="J60" s="52" t="str">
        <f>IF(ISBLANK(Data!P57),"",Data!P57)</f>
        <v/>
      </c>
      <c r="K60" s="50" t="str">
        <f>IF(ISBLANK(Data!AB97),"",Data!AB97)</f>
        <v/>
      </c>
      <c r="L60" s="52" t="str">
        <f>IF(ISBLANK(Data!AC97),"",Data!AC97)</f>
        <v/>
      </c>
      <c r="M60" s="53" t="str">
        <f>IF(ISBLANK(Data!AD97),"",Data!AD97)</f>
        <v/>
      </c>
      <c r="N60" s="54" t="str">
        <f>IF(ISBLANK(Data!AE97),"",Data!AE97)</f>
        <v/>
      </c>
      <c r="O60" s="53" t="str">
        <f>IF(ISBLANK(Data!AF97),"",Data!AF97)</f>
        <v/>
      </c>
      <c r="P60" s="54" t="str">
        <f>IF(ISBLANK(Data!AG97),"",Data!AG97)</f>
        <v/>
      </c>
      <c r="Q60" s="60" t="str">
        <f>IF(Data!I20="","",IF(Data!I20=0,1080,Data!I20))</f>
        <v/>
      </c>
      <c r="R60" s="61" t="str">
        <f>IF(ISBLANK(Data!J20),"",Data!J20)</f>
        <v/>
      </c>
      <c r="S60" s="21">
        <f t="shared" si="6"/>
        <v>1</v>
      </c>
      <c r="T60" s="58">
        <f t="shared" si="7"/>
        <v>1</v>
      </c>
    </row>
    <row r="61" spans="2:20" ht="14.1" customHeight="1" x14ac:dyDescent="0.25">
      <c r="B61" s="59">
        <f t="shared" si="5"/>
        <v>16</v>
      </c>
      <c r="C61" s="39"/>
      <c r="D61" s="40"/>
      <c r="E61" s="40"/>
      <c r="F61" s="41"/>
      <c r="G61" s="50" t="str">
        <f>IF(ISBLANK(Data!M58),"",Data!M58)</f>
        <v/>
      </c>
      <c r="H61" s="51" t="str">
        <f>IF(ISBLANK(Data!N58),"",IF(Data!N58=2,0,Data!N58))</f>
        <v/>
      </c>
      <c r="I61" s="51" t="str">
        <f>IF(ISBLANK(Data!O58),"",Data!O58)</f>
        <v/>
      </c>
      <c r="J61" s="52" t="str">
        <f>IF(ISBLANK(Data!P58),"",Data!P58)</f>
        <v/>
      </c>
      <c r="K61" s="50" t="str">
        <f>IF(ISBLANK(Data!AB98),"",Data!AB98)</f>
        <v/>
      </c>
      <c r="L61" s="52" t="str">
        <f>IF(ISBLANK(Data!AC98),"",Data!AC98)</f>
        <v/>
      </c>
      <c r="M61" s="53" t="str">
        <f>IF(ISBLANK(Data!AD98),"",Data!AD98)</f>
        <v/>
      </c>
      <c r="N61" s="54" t="str">
        <f>IF(ISBLANK(Data!AE98),"",Data!AE98)</f>
        <v/>
      </c>
      <c r="O61" s="53" t="str">
        <f>IF(ISBLANK(Data!AF98),"",Data!AF98)</f>
        <v/>
      </c>
      <c r="P61" s="54" t="str">
        <f>IF(ISBLANK(Data!AG98),"",Data!AG98)</f>
        <v/>
      </c>
      <c r="Q61" s="60" t="str">
        <f>IF(Data!I21="","",IF(Data!I21=0,1080,Data!I21))</f>
        <v/>
      </c>
      <c r="R61" s="61" t="str">
        <f>IF(ISBLANK(Data!J21),"",Data!J21)</f>
        <v/>
      </c>
      <c r="S61" s="21">
        <f t="shared" si="6"/>
        <v>1</v>
      </c>
      <c r="T61" s="58">
        <f t="shared" si="7"/>
        <v>1</v>
      </c>
    </row>
    <row r="62" spans="2:20" ht="14.1" customHeight="1" x14ac:dyDescent="0.25">
      <c r="B62" s="59">
        <f t="shared" si="5"/>
        <v>17</v>
      </c>
      <c r="C62" s="39"/>
      <c r="D62" s="40"/>
      <c r="E62" s="40"/>
      <c r="F62" s="41"/>
      <c r="G62" s="50" t="str">
        <f>IF(ISBLANK(Data!M59),"",Data!M59)</f>
        <v/>
      </c>
      <c r="H62" s="51" t="str">
        <f>IF(ISBLANK(Data!N59),"",IF(Data!N59=2,0,Data!N59))</f>
        <v/>
      </c>
      <c r="I62" s="51" t="str">
        <f>IF(ISBLANK(Data!O59),"",Data!O59)</f>
        <v/>
      </c>
      <c r="J62" s="52" t="str">
        <f>IF(ISBLANK(Data!P59),"",Data!P59)</f>
        <v/>
      </c>
      <c r="K62" s="50" t="str">
        <f>IF(ISBLANK(Data!AB99),"",Data!AB99)</f>
        <v/>
      </c>
      <c r="L62" s="52" t="str">
        <f>IF(ISBLANK(Data!AC99),"",Data!AC99)</f>
        <v/>
      </c>
      <c r="M62" s="53" t="str">
        <f>IF(ISBLANK(Data!AD99),"",Data!AD99)</f>
        <v/>
      </c>
      <c r="N62" s="54" t="str">
        <f>IF(ISBLANK(Data!AE99),"",Data!AE99)</f>
        <v/>
      </c>
      <c r="O62" s="53" t="str">
        <f>IF(ISBLANK(Data!AF99),"",Data!AF99)</f>
        <v/>
      </c>
      <c r="P62" s="54" t="str">
        <f>IF(ISBLANK(Data!AG99),"",Data!AG99)</f>
        <v/>
      </c>
      <c r="Q62" s="60" t="str">
        <f>IF(Data!I22="","",IF(Data!I22=0,1080,Data!I22))</f>
        <v/>
      </c>
      <c r="R62" s="61" t="str">
        <f>IF(ISBLANK(Data!J22),"",Data!J22)</f>
        <v/>
      </c>
      <c r="S62" s="21">
        <f t="shared" si="6"/>
        <v>1</v>
      </c>
      <c r="T62" s="58">
        <f t="shared" si="7"/>
        <v>1</v>
      </c>
    </row>
    <row r="63" spans="2:20" ht="14.1" customHeight="1" x14ac:dyDescent="0.25">
      <c r="B63" s="59">
        <f t="shared" si="5"/>
        <v>18</v>
      </c>
      <c r="C63" s="39"/>
      <c r="D63" s="40"/>
      <c r="E63" s="40"/>
      <c r="F63" s="41"/>
      <c r="G63" s="50" t="str">
        <f>IF(ISBLANK(Data!M60),"",Data!M60)</f>
        <v/>
      </c>
      <c r="H63" s="51" t="str">
        <f>IF(ISBLANK(Data!N60),"",IF(Data!N60=2,0,Data!N60))</f>
        <v/>
      </c>
      <c r="I63" s="51" t="str">
        <f>IF(ISBLANK(Data!O60),"",Data!O60)</f>
        <v/>
      </c>
      <c r="J63" s="52" t="str">
        <f>IF(ISBLANK(Data!P60),"",Data!P60)</f>
        <v/>
      </c>
      <c r="K63" s="50" t="str">
        <f>IF(ISBLANK(Data!AB100),"",Data!AB100)</f>
        <v/>
      </c>
      <c r="L63" s="52" t="str">
        <f>IF(ISBLANK(Data!AC100),"",Data!AC100)</f>
        <v/>
      </c>
      <c r="M63" s="53" t="str">
        <f>IF(ISBLANK(Data!AD100),"",Data!AD100)</f>
        <v/>
      </c>
      <c r="N63" s="54" t="str">
        <f>IF(ISBLANK(Data!AE100),"",Data!AE100)</f>
        <v/>
      </c>
      <c r="O63" s="53" t="str">
        <f>IF(ISBLANK(Data!AF100),"",Data!AF100)</f>
        <v/>
      </c>
      <c r="P63" s="54" t="str">
        <f>IF(ISBLANK(Data!AG100),"",Data!AG100)</f>
        <v/>
      </c>
      <c r="Q63" s="60" t="str">
        <f>IF(Data!I23="","",IF(Data!I23=0,1080,Data!I23))</f>
        <v/>
      </c>
      <c r="R63" s="61" t="str">
        <f>IF(ISBLANK(Data!J23),"",Data!J23)</f>
        <v/>
      </c>
      <c r="S63" s="21">
        <f t="shared" si="6"/>
        <v>1</v>
      </c>
      <c r="T63" s="58">
        <f t="shared" si="7"/>
        <v>1</v>
      </c>
    </row>
    <row r="64" spans="2:20" ht="14.1" customHeight="1" x14ac:dyDescent="0.25">
      <c r="B64" s="59">
        <f t="shared" si="5"/>
        <v>19</v>
      </c>
      <c r="C64" s="39"/>
      <c r="D64" s="40"/>
      <c r="E64" s="40"/>
      <c r="F64" s="41"/>
      <c r="G64" s="50" t="str">
        <f>IF(ISBLANK(Data!M61),"",Data!M61)</f>
        <v/>
      </c>
      <c r="H64" s="51" t="str">
        <f>IF(ISBLANK(Data!N61),"",IF(Data!N61=2,0,Data!N61))</f>
        <v/>
      </c>
      <c r="I64" s="51" t="str">
        <f>IF(ISBLANK(Data!O61),"",Data!O61)</f>
        <v/>
      </c>
      <c r="J64" s="52" t="str">
        <f>IF(ISBLANK(Data!P61),"",Data!P61)</f>
        <v/>
      </c>
      <c r="K64" s="50" t="str">
        <f>IF(ISBLANK(Data!AB101),"",Data!AB101)</f>
        <v/>
      </c>
      <c r="L64" s="52" t="str">
        <f>IF(ISBLANK(Data!AC101),"",Data!AC101)</f>
        <v/>
      </c>
      <c r="M64" s="53" t="str">
        <f>IF(ISBLANK(Data!AD101),"",Data!AD101)</f>
        <v/>
      </c>
      <c r="N64" s="54" t="str">
        <f>IF(ISBLANK(Data!AE101),"",Data!AE101)</f>
        <v/>
      </c>
      <c r="O64" s="53" t="str">
        <f>IF(ISBLANK(Data!AF101),"",Data!AF101)</f>
        <v/>
      </c>
      <c r="P64" s="54" t="str">
        <f>IF(ISBLANK(Data!AG101),"",Data!AG101)</f>
        <v/>
      </c>
      <c r="Q64" s="60" t="str">
        <f>IF(Data!I24="","",IF(Data!I24=0,1080,Data!I24))</f>
        <v/>
      </c>
      <c r="R64" s="61" t="str">
        <f>IF(ISBLANK(Data!J24),"",Data!J24)</f>
        <v/>
      </c>
      <c r="S64" s="21">
        <f t="shared" si="6"/>
        <v>1</v>
      </c>
      <c r="T64" s="58">
        <f t="shared" si="7"/>
        <v>1</v>
      </c>
    </row>
    <row r="65" spans="2:20" ht="14.1" customHeight="1" x14ac:dyDescent="0.25">
      <c r="B65" s="59">
        <f t="shared" si="5"/>
        <v>20</v>
      </c>
      <c r="C65" s="39"/>
      <c r="D65" s="40"/>
      <c r="E65" s="40"/>
      <c r="F65" s="41"/>
      <c r="G65" s="50" t="str">
        <f>IF(ISBLANK(Data!M62),"",Data!M62)</f>
        <v/>
      </c>
      <c r="H65" s="51" t="str">
        <f>IF(ISBLANK(Data!N62),"",IF(Data!N62=2,0,Data!N62))</f>
        <v/>
      </c>
      <c r="I65" s="51" t="str">
        <f>IF(ISBLANK(Data!O62),"",Data!O62)</f>
        <v/>
      </c>
      <c r="J65" s="52" t="str">
        <f>IF(ISBLANK(Data!P62),"",Data!P62)</f>
        <v/>
      </c>
      <c r="K65" s="50" t="str">
        <f>IF(ISBLANK(Data!AB102),"",Data!AB102)</f>
        <v/>
      </c>
      <c r="L65" s="52" t="str">
        <f>IF(ISBLANK(Data!AC102),"",Data!AC102)</f>
        <v/>
      </c>
      <c r="M65" s="53" t="str">
        <f>IF(ISBLANK(Data!AD102),"",Data!AD102)</f>
        <v/>
      </c>
      <c r="N65" s="54" t="str">
        <f>IF(ISBLANK(Data!AE102),"",Data!AE102)</f>
        <v/>
      </c>
      <c r="O65" s="53" t="str">
        <f>IF(ISBLANK(Data!AF102),"",Data!AF102)</f>
        <v/>
      </c>
      <c r="P65" s="54" t="str">
        <f>IF(ISBLANK(Data!AG102),"",Data!AG102)</f>
        <v/>
      </c>
      <c r="Q65" s="60" t="str">
        <f>IF(Data!I25="","",IF(Data!I25=0,1080,Data!I25))</f>
        <v/>
      </c>
      <c r="R65" s="61" t="str">
        <f>IF(ISBLANK(Data!J25),"",Data!J25)</f>
        <v/>
      </c>
      <c r="S65" s="21">
        <f t="shared" si="6"/>
        <v>1</v>
      </c>
      <c r="T65" s="58">
        <f t="shared" si="7"/>
        <v>1</v>
      </c>
    </row>
    <row r="66" spans="2:20" ht="14.1" customHeight="1" x14ac:dyDescent="0.25">
      <c r="B66" s="59">
        <f t="shared" si="5"/>
        <v>21</v>
      </c>
      <c r="C66" s="39"/>
      <c r="D66" s="40"/>
      <c r="E66" s="40"/>
      <c r="F66" s="41"/>
      <c r="G66" s="50" t="str">
        <f>IF(ISBLANK(Data!M63),"",Data!M63)</f>
        <v/>
      </c>
      <c r="H66" s="51" t="str">
        <f>IF(ISBLANK(Data!N63),"",IF(Data!N63=2,0,Data!N63))</f>
        <v/>
      </c>
      <c r="I66" s="51" t="str">
        <f>IF(ISBLANK(Data!O63),"",Data!O63)</f>
        <v/>
      </c>
      <c r="J66" s="52" t="str">
        <f>IF(ISBLANK(Data!P63),"",Data!P63)</f>
        <v/>
      </c>
      <c r="K66" s="50" t="str">
        <f>IF(ISBLANK(Data!AB103),"",Data!AB103)</f>
        <v/>
      </c>
      <c r="L66" s="52" t="str">
        <f>IF(ISBLANK(Data!AC103),"",Data!AC103)</f>
        <v/>
      </c>
      <c r="M66" s="53" t="str">
        <f>IF(ISBLANK(Data!AD103),"",Data!AD103)</f>
        <v/>
      </c>
      <c r="N66" s="54" t="str">
        <f>IF(ISBLANK(Data!AE103),"",Data!AE103)</f>
        <v/>
      </c>
      <c r="O66" s="53" t="str">
        <f>IF(ISBLANK(Data!AF103),"",Data!AF103)</f>
        <v/>
      </c>
      <c r="P66" s="54" t="str">
        <f>IF(ISBLANK(Data!AG103),"",Data!AG103)</f>
        <v/>
      </c>
      <c r="Q66" s="60" t="str">
        <f>IF(Data!I26="","",IF(Data!I26=0,1080,Data!I26))</f>
        <v/>
      </c>
      <c r="R66" s="61" t="str">
        <f>IF(ISBLANK(Data!J26),"",Data!J26)</f>
        <v/>
      </c>
      <c r="S66" s="21">
        <f t="shared" si="6"/>
        <v>1</v>
      </c>
      <c r="T66" s="58">
        <f t="shared" si="7"/>
        <v>1</v>
      </c>
    </row>
    <row r="67" spans="2:20" ht="14.1" customHeight="1" x14ac:dyDescent="0.25">
      <c r="B67" s="59">
        <f t="shared" si="5"/>
        <v>22</v>
      </c>
      <c r="C67" s="39"/>
      <c r="D67" s="40"/>
      <c r="E67" s="40"/>
      <c r="F67" s="41"/>
      <c r="G67" s="50" t="str">
        <f>IF(ISBLANK(Data!M64),"",Data!M64)</f>
        <v/>
      </c>
      <c r="H67" s="51" t="str">
        <f>IF(ISBLANK(Data!N64),"",IF(Data!N64=2,0,Data!N64))</f>
        <v/>
      </c>
      <c r="I67" s="51" t="str">
        <f>IF(ISBLANK(Data!O64),"",Data!O64)</f>
        <v/>
      </c>
      <c r="J67" s="52" t="str">
        <f>IF(ISBLANK(Data!P64),"",Data!P64)</f>
        <v/>
      </c>
      <c r="K67" s="50" t="str">
        <f>IF(ISBLANK(Data!AB104),"",Data!AB104)</f>
        <v/>
      </c>
      <c r="L67" s="52" t="str">
        <f>IF(ISBLANK(Data!AC104),"",Data!AC104)</f>
        <v/>
      </c>
      <c r="M67" s="53" t="str">
        <f>IF(ISBLANK(Data!AD104),"",Data!AD104)</f>
        <v/>
      </c>
      <c r="N67" s="54" t="str">
        <f>IF(ISBLANK(Data!AE104),"",Data!AE104)</f>
        <v/>
      </c>
      <c r="O67" s="53" t="str">
        <f>IF(ISBLANK(Data!AF104),"",Data!AF104)</f>
        <v/>
      </c>
      <c r="P67" s="54" t="str">
        <f>IF(ISBLANK(Data!AG104),"",Data!AG104)</f>
        <v/>
      </c>
      <c r="Q67" s="60" t="str">
        <f>IF(Data!I27="","",IF(Data!I27=0,1080,Data!I27))</f>
        <v/>
      </c>
      <c r="R67" s="61" t="str">
        <f>IF(ISBLANK(Data!J27),"",Data!J27)</f>
        <v/>
      </c>
      <c r="S67" s="21">
        <f t="shared" si="6"/>
        <v>1</v>
      </c>
      <c r="T67" s="58">
        <f t="shared" si="7"/>
        <v>1</v>
      </c>
    </row>
    <row r="68" spans="2:20" ht="14.1" customHeight="1" x14ac:dyDescent="0.25">
      <c r="B68" s="59">
        <f t="shared" si="5"/>
        <v>23</v>
      </c>
      <c r="C68" s="39"/>
      <c r="D68" s="40"/>
      <c r="E68" s="40"/>
      <c r="F68" s="41"/>
      <c r="G68" s="50" t="str">
        <f>IF(ISBLANK(Data!M65),"",Data!M65)</f>
        <v/>
      </c>
      <c r="H68" s="51" t="str">
        <f>IF(ISBLANK(Data!N65),"",IF(Data!N65=2,0,Data!N65))</f>
        <v/>
      </c>
      <c r="I68" s="51" t="str">
        <f>IF(ISBLANK(Data!O65),"",Data!O65)</f>
        <v/>
      </c>
      <c r="J68" s="52" t="str">
        <f>IF(ISBLANK(Data!P65),"",Data!P65)</f>
        <v/>
      </c>
      <c r="K68" s="50" t="str">
        <f>IF(ISBLANK(Data!AB105),"",Data!AB105)</f>
        <v/>
      </c>
      <c r="L68" s="52" t="str">
        <f>IF(ISBLANK(Data!AC105),"",Data!AC105)</f>
        <v/>
      </c>
      <c r="M68" s="53" t="str">
        <f>IF(ISBLANK(Data!AD105),"",Data!AD105)</f>
        <v/>
      </c>
      <c r="N68" s="54" t="str">
        <f>IF(ISBLANK(Data!AE105),"",Data!AE105)</f>
        <v/>
      </c>
      <c r="O68" s="53" t="str">
        <f>IF(ISBLANK(Data!AF105),"",Data!AF105)</f>
        <v/>
      </c>
      <c r="P68" s="54" t="str">
        <f>IF(ISBLANK(Data!AG105),"",Data!AG105)</f>
        <v/>
      </c>
      <c r="Q68" s="60" t="str">
        <f>IF(Data!I28="","",IF(Data!I28=0,1080,Data!I28))</f>
        <v/>
      </c>
      <c r="R68" s="61" t="str">
        <f>IF(ISBLANK(Data!J28),"",Data!J28)</f>
        <v/>
      </c>
      <c r="S68" s="21">
        <f t="shared" si="6"/>
        <v>1</v>
      </c>
      <c r="T68" s="58">
        <f t="shared" si="7"/>
        <v>1</v>
      </c>
    </row>
    <row r="69" spans="2:20" ht="14.1" customHeight="1" x14ac:dyDescent="0.25">
      <c r="B69" s="59">
        <f t="shared" si="5"/>
        <v>24</v>
      </c>
      <c r="C69" s="39"/>
      <c r="D69" s="40"/>
      <c r="E69" s="40"/>
      <c r="F69" s="41"/>
      <c r="G69" s="50" t="str">
        <f>IF(ISBLANK(Data!M66),"",Data!M66)</f>
        <v/>
      </c>
      <c r="H69" s="51" t="str">
        <f>IF(ISBLANK(Data!N66),"",IF(Data!N66=2,0,Data!N66))</f>
        <v/>
      </c>
      <c r="I69" s="51" t="str">
        <f>IF(ISBLANK(Data!O66),"",Data!O66)</f>
        <v/>
      </c>
      <c r="J69" s="52" t="str">
        <f>IF(ISBLANK(Data!P66),"",Data!P66)</f>
        <v/>
      </c>
      <c r="K69" s="50" t="str">
        <f>IF(ISBLANK(Data!AB106),"",Data!AB106)</f>
        <v/>
      </c>
      <c r="L69" s="52" t="str">
        <f>IF(ISBLANK(Data!AC106),"",Data!AC106)</f>
        <v/>
      </c>
      <c r="M69" s="53" t="str">
        <f>IF(ISBLANK(Data!AD106),"",Data!AD106)</f>
        <v/>
      </c>
      <c r="N69" s="54" t="str">
        <f>IF(ISBLANK(Data!AE106),"",Data!AE106)</f>
        <v/>
      </c>
      <c r="O69" s="53" t="str">
        <f>IF(ISBLANK(Data!AF106),"",Data!AF106)</f>
        <v/>
      </c>
      <c r="P69" s="54" t="str">
        <f>IF(ISBLANK(Data!AG106),"",Data!AG106)</f>
        <v/>
      </c>
      <c r="Q69" s="60" t="str">
        <f>IF(Data!I29="","",IF(Data!I29=0,1080,Data!I29))</f>
        <v/>
      </c>
      <c r="R69" s="61" t="str">
        <f>IF(ISBLANK(Data!J29),"",Data!J29)</f>
        <v/>
      </c>
      <c r="S69" s="21">
        <f t="shared" si="6"/>
        <v>1</v>
      </c>
      <c r="T69" s="58">
        <f t="shared" si="7"/>
        <v>1</v>
      </c>
    </row>
    <row r="70" spans="2:20" ht="14.1" customHeight="1" x14ac:dyDescent="0.25">
      <c r="B70" s="59">
        <f t="shared" si="5"/>
        <v>25</v>
      </c>
      <c r="C70" s="39"/>
      <c r="D70" s="40"/>
      <c r="E70" s="40"/>
      <c r="F70" s="41"/>
      <c r="G70" s="50" t="str">
        <f>IF(ISBLANK(Data!M67),"",Data!M67)</f>
        <v/>
      </c>
      <c r="H70" s="51" t="str">
        <f>IF(ISBLANK(Data!N67),"",IF(Data!N67=2,0,Data!N67))</f>
        <v/>
      </c>
      <c r="I70" s="51" t="str">
        <f>IF(ISBLANK(Data!O67),"",Data!O67)</f>
        <v/>
      </c>
      <c r="J70" s="52" t="str">
        <f>IF(ISBLANK(Data!P67),"",Data!P67)</f>
        <v/>
      </c>
      <c r="K70" s="50" t="str">
        <f>IF(ISBLANK(Data!AB107),"",Data!AB107)</f>
        <v/>
      </c>
      <c r="L70" s="52" t="str">
        <f>IF(ISBLANK(Data!AC107),"",Data!AC107)</f>
        <v/>
      </c>
      <c r="M70" s="53" t="str">
        <f>IF(ISBLANK(Data!AD107),"",Data!AD107)</f>
        <v/>
      </c>
      <c r="N70" s="54" t="str">
        <f>IF(ISBLANK(Data!AE107),"",Data!AE107)</f>
        <v/>
      </c>
      <c r="O70" s="53" t="str">
        <f>IF(ISBLANK(Data!AF107),"",Data!AF107)</f>
        <v/>
      </c>
      <c r="P70" s="54" t="str">
        <f>IF(ISBLANK(Data!AG107),"",Data!AG107)</f>
        <v/>
      </c>
      <c r="Q70" s="60" t="str">
        <f>IF(Data!I30="","",IF(Data!I30=0,1080,Data!I30))</f>
        <v/>
      </c>
      <c r="R70" s="61" t="str">
        <f>IF(ISBLANK(Data!J30),"",Data!J30)</f>
        <v/>
      </c>
      <c r="S70" s="21">
        <f t="shared" si="6"/>
        <v>1</v>
      </c>
      <c r="T70" s="58">
        <f t="shared" si="7"/>
        <v>1</v>
      </c>
    </row>
    <row r="71" spans="2:20" ht="14.1" customHeight="1" x14ac:dyDescent="0.25">
      <c r="B71" s="59">
        <f t="shared" si="5"/>
        <v>26</v>
      </c>
      <c r="C71" s="39"/>
      <c r="D71" s="40"/>
      <c r="E71" s="40"/>
      <c r="F71" s="41"/>
      <c r="G71" s="50" t="str">
        <f>IF(ISBLANK(Data!M68),"",Data!M68)</f>
        <v/>
      </c>
      <c r="H71" s="51" t="str">
        <f>IF(ISBLANK(Data!N68),"",IF(Data!N68=2,0,Data!N68))</f>
        <v/>
      </c>
      <c r="I71" s="51" t="str">
        <f>IF(ISBLANK(Data!O68),"",Data!O68)</f>
        <v/>
      </c>
      <c r="J71" s="52" t="str">
        <f>IF(ISBLANK(Data!P68),"",Data!P68)</f>
        <v/>
      </c>
      <c r="K71" s="50" t="str">
        <f>IF(ISBLANK(Data!AB108),"",Data!AB108)</f>
        <v/>
      </c>
      <c r="L71" s="52" t="str">
        <f>IF(ISBLANK(Data!AC108),"",Data!AC108)</f>
        <v/>
      </c>
      <c r="M71" s="53" t="str">
        <f>IF(ISBLANK(Data!AD108),"",Data!AD108)</f>
        <v/>
      </c>
      <c r="N71" s="54" t="str">
        <f>IF(ISBLANK(Data!AE108),"",Data!AE108)</f>
        <v/>
      </c>
      <c r="O71" s="53" t="str">
        <f>IF(ISBLANK(Data!AF108),"",Data!AF108)</f>
        <v/>
      </c>
      <c r="P71" s="54" t="str">
        <f>IF(ISBLANK(Data!AG108),"",Data!AG108)</f>
        <v/>
      </c>
      <c r="Q71" s="60" t="str">
        <f>IF(Data!I31="","",IF(Data!I31=0,1080,Data!I31))</f>
        <v/>
      </c>
      <c r="R71" s="61" t="str">
        <f>IF(ISBLANK(Data!J31),"",Data!J31)</f>
        <v/>
      </c>
      <c r="S71" s="21">
        <f t="shared" si="6"/>
        <v>1</v>
      </c>
      <c r="T71" s="58">
        <f t="shared" si="7"/>
        <v>1</v>
      </c>
    </row>
    <row r="72" spans="2:20" ht="14.1" customHeight="1" x14ac:dyDescent="0.25">
      <c r="B72" s="59">
        <f t="shared" si="5"/>
        <v>27</v>
      </c>
      <c r="C72" s="39"/>
      <c r="D72" s="40"/>
      <c r="E72" s="40"/>
      <c r="F72" s="41"/>
      <c r="G72" s="50" t="str">
        <f>IF(ISBLANK(Data!M69),"",Data!M69)</f>
        <v/>
      </c>
      <c r="H72" s="51" t="str">
        <f>IF(ISBLANK(Data!N69),"",IF(Data!N69=2,0,Data!N69))</f>
        <v/>
      </c>
      <c r="I72" s="51" t="str">
        <f>IF(ISBLANK(Data!O69),"",Data!O69)</f>
        <v/>
      </c>
      <c r="J72" s="52" t="str">
        <f>IF(ISBLANK(Data!P69),"",Data!P69)</f>
        <v/>
      </c>
      <c r="K72" s="50" t="str">
        <f>IF(ISBLANK(Data!AB109),"",Data!AB109)</f>
        <v/>
      </c>
      <c r="L72" s="52" t="str">
        <f>IF(ISBLANK(Data!AC109),"",Data!AC109)</f>
        <v/>
      </c>
      <c r="M72" s="53" t="str">
        <f>IF(ISBLANK(Data!AD109),"",Data!AD109)</f>
        <v/>
      </c>
      <c r="N72" s="54" t="str">
        <f>IF(ISBLANK(Data!AE109),"",Data!AE109)</f>
        <v/>
      </c>
      <c r="O72" s="53" t="str">
        <f>IF(ISBLANK(Data!AF109),"",Data!AF109)</f>
        <v/>
      </c>
      <c r="P72" s="54" t="str">
        <f>IF(ISBLANK(Data!AG109),"",Data!AG109)</f>
        <v/>
      </c>
      <c r="Q72" s="60" t="str">
        <f>IF(Data!I32="","",IF(Data!I32=0,1080,Data!I32))</f>
        <v/>
      </c>
      <c r="R72" s="61" t="str">
        <f>IF(ISBLANK(Data!J32),"",Data!J32)</f>
        <v/>
      </c>
      <c r="S72" s="21">
        <f t="shared" si="6"/>
        <v>1</v>
      </c>
      <c r="T72" s="58">
        <f t="shared" si="7"/>
        <v>1</v>
      </c>
    </row>
    <row r="73" spans="2:20" ht="14.1" customHeight="1" x14ac:dyDescent="0.25">
      <c r="B73" s="59">
        <f t="shared" si="5"/>
        <v>28</v>
      </c>
      <c r="C73" s="39"/>
      <c r="D73" s="40"/>
      <c r="E73" s="40"/>
      <c r="F73" s="41"/>
      <c r="G73" s="50" t="str">
        <f>IF(ISBLANK(Data!M70),"",Data!M70)</f>
        <v/>
      </c>
      <c r="H73" s="51" t="str">
        <f>IF(ISBLANK(Data!N70),"",IF(Data!N70=2,0,Data!N70))</f>
        <v/>
      </c>
      <c r="I73" s="51" t="str">
        <f>IF(ISBLANK(Data!O70),"",Data!O70)</f>
        <v/>
      </c>
      <c r="J73" s="52" t="str">
        <f>IF(ISBLANK(Data!P70),"",Data!P70)</f>
        <v/>
      </c>
      <c r="K73" s="50" t="str">
        <f>IF(ISBLANK(Data!AB110),"",Data!AB110)</f>
        <v/>
      </c>
      <c r="L73" s="52" t="str">
        <f>IF(ISBLANK(Data!AC110),"",Data!AC110)</f>
        <v/>
      </c>
      <c r="M73" s="53" t="str">
        <f>IF(ISBLANK(Data!AD110),"",Data!AD110)</f>
        <v/>
      </c>
      <c r="N73" s="54" t="str">
        <f>IF(ISBLANK(Data!AE110),"",Data!AE110)</f>
        <v/>
      </c>
      <c r="O73" s="53" t="str">
        <f>IF(ISBLANK(Data!AF110),"",Data!AF110)</f>
        <v/>
      </c>
      <c r="P73" s="54" t="str">
        <f>IF(ISBLANK(Data!AG110),"",Data!AG110)</f>
        <v/>
      </c>
      <c r="Q73" s="60" t="str">
        <f>IF(Data!I33="","",IF(Data!I33=0,1080,Data!I33))</f>
        <v/>
      </c>
      <c r="R73" s="61" t="str">
        <f>IF(ISBLANK(Data!J33),"",Data!J33)</f>
        <v/>
      </c>
      <c r="S73" s="21">
        <f t="shared" si="6"/>
        <v>1</v>
      </c>
      <c r="T73" s="58">
        <f t="shared" si="7"/>
        <v>1</v>
      </c>
    </row>
    <row r="74" spans="2:20" ht="14.1" customHeight="1" x14ac:dyDescent="0.25">
      <c r="B74" s="59">
        <f t="shared" si="5"/>
        <v>29</v>
      </c>
      <c r="C74" s="39"/>
      <c r="D74" s="40"/>
      <c r="E74" s="40"/>
      <c r="F74" s="41"/>
      <c r="G74" s="50" t="str">
        <f>IF(ISBLANK(Data!M71),"",Data!M71)</f>
        <v/>
      </c>
      <c r="H74" s="51" t="str">
        <f>IF(ISBLANK(Data!N71),"",IF(Data!N71=2,0,Data!N71))</f>
        <v/>
      </c>
      <c r="I74" s="51" t="str">
        <f>IF(ISBLANK(Data!O71),"",Data!O71)</f>
        <v/>
      </c>
      <c r="J74" s="52" t="str">
        <f>IF(ISBLANK(Data!P71),"",Data!P71)</f>
        <v/>
      </c>
      <c r="K74" s="50" t="str">
        <f>IF(ISBLANK(Data!AB111),"",Data!AB111)</f>
        <v/>
      </c>
      <c r="L74" s="52" t="str">
        <f>IF(ISBLANK(Data!AC111),"",Data!AC111)</f>
        <v/>
      </c>
      <c r="M74" s="53" t="str">
        <f>IF(ISBLANK(Data!AD111),"",Data!AD111)</f>
        <v/>
      </c>
      <c r="N74" s="54" t="str">
        <f>IF(ISBLANK(Data!AE111),"",Data!AE111)</f>
        <v/>
      </c>
      <c r="O74" s="53" t="str">
        <f>IF(ISBLANK(Data!AF111),"",Data!AF111)</f>
        <v/>
      </c>
      <c r="P74" s="54" t="str">
        <f>IF(ISBLANK(Data!AG111),"",Data!AG111)</f>
        <v/>
      </c>
      <c r="Q74" s="60" t="str">
        <f>IF(Data!I34="","",IF(Data!I34=0,1080,Data!I34))</f>
        <v/>
      </c>
      <c r="R74" s="61" t="str">
        <f>IF(ISBLANK(Data!J34),"",Data!J34)</f>
        <v/>
      </c>
      <c r="S74" s="21">
        <f t="shared" si="6"/>
        <v>1</v>
      </c>
      <c r="T74" s="58">
        <f t="shared" si="7"/>
        <v>1</v>
      </c>
    </row>
    <row r="75" spans="2:20" ht="14.1" customHeight="1" x14ac:dyDescent="0.25">
      <c r="B75" s="59">
        <f t="shared" si="5"/>
        <v>30</v>
      </c>
      <c r="C75" s="39"/>
      <c r="D75" s="40"/>
      <c r="E75" s="40"/>
      <c r="F75" s="41"/>
      <c r="G75" s="50" t="str">
        <f>IF(ISBLANK(Data!M72),"",Data!M72)</f>
        <v/>
      </c>
      <c r="H75" s="51" t="str">
        <f>IF(ISBLANK(Data!N72),"",IF(Data!N72=2,0,Data!N72))</f>
        <v/>
      </c>
      <c r="I75" s="51" t="str">
        <f>IF(ISBLANK(Data!O72),"",Data!O72)</f>
        <v/>
      </c>
      <c r="J75" s="52" t="str">
        <f>IF(ISBLANK(Data!P72),"",Data!P72)</f>
        <v/>
      </c>
      <c r="K75" s="50" t="str">
        <f>IF(ISBLANK(Data!AB112),"",Data!AB112)</f>
        <v/>
      </c>
      <c r="L75" s="52" t="str">
        <f>IF(ISBLANK(Data!AC112),"",Data!AC112)</f>
        <v/>
      </c>
      <c r="M75" s="53" t="str">
        <f>IF(ISBLANK(Data!AD112),"",Data!AD112)</f>
        <v/>
      </c>
      <c r="N75" s="54" t="str">
        <f>IF(ISBLANK(Data!AE112),"",Data!AE112)</f>
        <v/>
      </c>
      <c r="O75" s="53" t="str">
        <f>IF(ISBLANK(Data!AF112),"",Data!AF112)</f>
        <v/>
      </c>
      <c r="P75" s="54" t="str">
        <f>IF(ISBLANK(Data!AG112),"",Data!AG112)</f>
        <v/>
      </c>
      <c r="Q75" s="60" t="str">
        <f>IF(Data!I35="","",IF(Data!I35=0,1080,Data!I35))</f>
        <v/>
      </c>
      <c r="R75" s="61" t="str">
        <f>IF(ISBLANK(Data!J35),"",Data!J35)</f>
        <v/>
      </c>
      <c r="S75" s="21">
        <f t="shared" si="6"/>
        <v>1</v>
      </c>
      <c r="T75" s="58">
        <f t="shared" si="7"/>
        <v>1</v>
      </c>
    </row>
    <row r="76" spans="2:20" ht="14.1" customHeight="1" thickBot="1" x14ac:dyDescent="0.3">
      <c r="B76" s="62">
        <f t="shared" si="5"/>
        <v>31</v>
      </c>
      <c r="C76" s="42"/>
      <c r="D76" s="43"/>
      <c r="E76" s="43"/>
      <c r="F76" s="44"/>
      <c r="G76" s="63" t="str">
        <f>IF(ISBLANK(Data!M73),"",Data!M73)</f>
        <v/>
      </c>
      <c r="H76" s="64" t="str">
        <f>IF(ISBLANK(Data!N73),"",IF(Data!N73=2,0,Data!N73))</f>
        <v/>
      </c>
      <c r="I76" s="64" t="str">
        <f>IF(ISBLANK(Data!O73),"",Data!O73)</f>
        <v/>
      </c>
      <c r="J76" s="65" t="str">
        <f>IF(ISBLANK(Data!P73),"",Data!P73)</f>
        <v/>
      </c>
      <c r="K76" s="63" t="str">
        <f>IF(ISBLANK(Data!AB113),"",Data!AB113)</f>
        <v/>
      </c>
      <c r="L76" s="65" t="str">
        <f>IF(ISBLANK(Data!AC113),"",Data!AC113)</f>
        <v/>
      </c>
      <c r="M76" s="66" t="str">
        <f>IF(ISBLANK(Data!AD113),"",Data!AD113)</f>
        <v/>
      </c>
      <c r="N76" s="67" t="str">
        <f>IF(ISBLANK(Data!AE113),"",Data!AE113)</f>
        <v/>
      </c>
      <c r="O76" s="66" t="str">
        <f>IF(ISBLANK(Data!AF113),"",Data!AF113)</f>
        <v/>
      </c>
      <c r="P76" s="67" t="str">
        <f>IF(ISBLANK(Data!AG113),"",Data!AG113)</f>
        <v/>
      </c>
      <c r="Q76" s="68" t="str">
        <f>IF(Data!I36="","",IF(Data!I36=0,1080,Data!I36))</f>
        <v/>
      </c>
      <c r="R76" s="69" t="str">
        <f>IF(ISBLANK(Data!J36),"",Data!J36)</f>
        <v/>
      </c>
      <c r="S76" s="26">
        <f t="shared" si="6"/>
        <v>1</v>
      </c>
      <c r="T76" s="71">
        <f t="shared" si="7"/>
        <v>1</v>
      </c>
    </row>
    <row r="77" spans="2:20" ht="14.1" customHeight="1" x14ac:dyDescent="0.25"/>
    <row r="78" spans="2:20" ht="14.1" customHeight="1" thickBot="1" x14ac:dyDescent="0.3"/>
    <row r="79" spans="2:20" ht="14.1" customHeight="1" thickBot="1" x14ac:dyDescent="0.3">
      <c r="B79" s="309" t="s">
        <v>5</v>
      </c>
      <c r="C79" s="312" t="s">
        <v>35</v>
      </c>
      <c r="D79" s="313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4"/>
    </row>
    <row r="80" spans="2:20" ht="14.1" customHeight="1" thickBot="1" x14ac:dyDescent="0.3">
      <c r="B80" s="310"/>
      <c r="C80" s="315" t="s">
        <v>102</v>
      </c>
      <c r="D80" s="316"/>
      <c r="E80" s="316"/>
      <c r="F80" s="317"/>
      <c r="G80" s="318" t="s">
        <v>118</v>
      </c>
      <c r="H80" s="319"/>
      <c r="I80" s="319"/>
      <c r="J80" s="320"/>
      <c r="K80" s="312" t="s">
        <v>42</v>
      </c>
      <c r="L80" s="313"/>
      <c r="M80" s="313"/>
      <c r="N80" s="313"/>
      <c r="O80" s="313"/>
      <c r="P80" s="313"/>
      <c r="Q80" s="313"/>
      <c r="R80" s="314"/>
      <c r="S80" s="321"/>
      <c r="T80" s="322"/>
    </row>
    <row r="81" spans="2:20" ht="14.1" customHeight="1" x14ac:dyDescent="0.25">
      <c r="B81" s="310"/>
      <c r="C81" s="323" t="s">
        <v>98</v>
      </c>
      <c r="D81" s="324" t="s">
        <v>24</v>
      </c>
      <c r="E81" s="324" t="s">
        <v>99</v>
      </c>
      <c r="F81" s="325" t="s">
        <v>39</v>
      </c>
      <c r="G81" s="323" t="s">
        <v>98</v>
      </c>
      <c r="H81" s="324" t="s">
        <v>24</v>
      </c>
      <c r="I81" s="324" t="s">
        <v>99</v>
      </c>
      <c r="J81" s="325" t="s">
        <v>39</v>
      </c>
      <c r="K81" s="330" t="s">
        <v>12</v>
      </c>
      <c r="L81" s="331"/>
      <c r="M81" s="330" t="s">
        <v>13</v>
      </c>
      <c r="N81" s="331"/>
      <c r="O81" s="330" t="s">
        <v>14</v>
      </c>
      <c r="P81" s="331"/>
      <c r="Q81" s="318" t="s">
        <v>41</v>
      </c>
      <c r="R81" s="320"/>
      <c r="S81" s="326" t="s">
        <v>33</v>
      </c>
      <c r="T81" s="328" t="s">
        <v>27</v>
      </c>
    </row>
    <row r="82" spans="2:20" ht="14.1" customHeight="1" thickBot="1" x14ac:dyDescent="0.3">
      <c r="B82" s="311"/>
      <c r="C82" s="323"/>
      <c r="D82" s="324"/>
      <c r="E82" s="324"/>
      <c r="F82" s="325"/>
      <c r="G82" s="323"/>
      <c r="H82" s="324"/>
      <c r="I82" s="324"/>
      <c r="J82" s="325"/>
      <c r="K82" s="45" t="s">
        <v>23</v>
      </c>
      <c r="L82" s="46" t="s">
        <v>24</v>
      </c>
      <c r="M82" s="45" t="s">
        <v>23</v>
      </c>
      <c r="N82" s="46" t="s">
        <v>24</v>
      </c>
      <c r="O82" s="45" t="s">
        <v>23</v>
      </c>
      <c r="P82" s="46" t="s">
        <v>24</v>
      </c>
      <c r="Q82" s="47" t="s">
        <v>23</v>
      </c>
      <c r="R82" s="48" t="s">
        <v>39</v>
      </c>
      <c r="S82" s="327"/>
      <c r="T82" s="329"/>
    </row>
    <row r="83" spans="2:20" ht="14.1" customHeight="1" x14ac:dyDescent="0.25">
      <c r="B83" s="49">
        <v>1</v>
      </c>
      <c r="C83" s="50" t="str">
        <f>IF(ISBLANK(Data!I44),"",Data!I44)</f>
        <v/>
      </c>
      <c r="D83" s="51" t="str">
        <f>IF(ISBLANK(Data!J44),"",IF(Data!J44=2,0,Data!J44))</f>
        <v/>
      </c>
      <c r="E83" s="51" t="str">
        <f>IF(ISBLANK(Data!K44),"",Data!K44)</f>
        <v/>
      </c>
      <c r="F83" s="52" t="str">
        <f>IF(ISBLANK(Data!L44),"",Data!L44)</f>
        <v/>
      </c>
      <c r="G83" s="50" t="str">
        <f>IF(ISBLANK(Data!Q43),"",Data!Q43)</f>
        <v/>
      </c>
      <c r="H83" s="51" t="str">
        <f>IF(ISBLANK(Data!R43),"",IF(Data!R43=2,0,Data!R43))</f>
        <v/>
      </c>
      <c r="I83" s="51" t="str">
        <f>IF(ISBLANK(Data!S43),"",Data!S43)</f>
        <v/>
      </c>
      <c r="J83" s="52" t="str">
        <f>IF(ISBLANK(Data!T43),"",Data!T43)</f>
        <v/>
      </c>
      <c r="K83" s="50" t="str">
        <f>IF(ISBLANK(Data!AH83),"",Data!AH83)</f>
        <v/>
      </c>
      <c r="L83" s="52" t="str">
        <f>IF(ISBLANK(Data!AI83),"",Data!AI83)</f>
        <v/>
      </c>
      <c r="M83" s="53" t="str">
        <f>IF(ISBLANK(Data!AJ83),"",Data!AJ83)</f>
        <v/>
      </c>
      <c r="N83" s="54" t="str">
        <f>IF(ISBLANK(Data!AK83),"",Data!AK83)</f>
        <v/>
      </c>
      <c r="O83" s="53" t="str">
        <f>IF(ISBLANK(Data!AL83),"",Data!AL83)</f>
        <v/>
      </c>
      <c r="P83" s="54" t="str">
        <f>IF(ISBLANK(Data!AM83),"",Data!AM83)</f>
        <v/>
      </c>
      <c r="Q83" s="55" t="str">
        <f>IF(Data!K6="","",IF(Data!K6=0,1080,Data!K6))</f>
        <v/>
      </c>
      <c r="R83" s="56" t="str">
        <f>IF(ISBLANK(Data!L6),"",Data!L6)</f>
        <v/>
      </c>
      <c r="S83" s="21">
        <f><![CDATA[IF(OR(C83="",E83="",Q83="",C83=1080,E83=1080,Q83=1080),0.5,IF(OR(K83=C83,K83=E83,M83=C83,M83=E83,O83=C83,O83=E83,MIN(ABS(Q83-C83),ABS(360-Q83+E83))<=45),0.5,IF(OR(IF(ISNUMBER(K83),OR(MIN(ABS(K83-C83),ABS(360-K83+C83))<=45,MIN(ABS(K83-E83),ABS(360-K83+E83))<=45),FALSE),IF(ISNUMBER(M83),OR(MIN(ABS(M83-C83),ABS(360-M83+C83))<=45,MIN(ABS(M83-E83),ABS(360-M83+E83))<=45),FALSE),IF(ISNUMBER(O83),OR(MIN(ABS(O83-C83),ABS(360-O83+C83))<=45,MIN(ABS(O83-E83),ABS(360-O83+E83))<=45),FALSE),MIN(ABS(Q83-C83),ABS(360-Q83+C83))<=90,MIN(ABS(Q83-E83),ABS(360-Q83+E83))<=90),0.25,0)))+IF(OR(R83="",D83="",F83=""),0.5,IF(AND(R83>=D83,R83<=F83),0.5,IF(AND(R83>=(D83-5),R83<=(F83+5)),0.25,0)))]]></f>
        <v>1</v>
      </c>
      <c r="T83" s="58">
        <f><![CDATA[IF(OR(G83="",I83="",Q83="",G83=1080,I83=1080,Q83=1080),0.5,IF(OR(K83=G83,K83=I83,M83=G83,M83=I83,O83=G83,O83=I83,MIN(ABS(Q83-G83),ABS(360-Q83+I83))<=45),0.5,IF(OR(IF(ISNUMBER(K83),OR(MIN(ABS(K83-G83),ABS(360-K83+G83))<=45,MIN(ABS(K83-I83),ABS(360-K83+I83))<=45),FALSE),IF(ISNUMBER(M83),OR(MIN(ABS(M83-G83),ABS(360-M83+G83))<=45,MIN(ABS(M83-I83),ABS(360-M83+I83))<=45),FALSE),IF(ISNUMBER(O83),OR(MIN(ABS(O83-G83),ABS(360-O83+G83))<=45,MIN(ABS(O83-I83),ABS(360-O83+I83))<=45),FALSE),MIN(ABS(Q83-G83),ABS(360-Q83+G83))<=90,MIN(ABS(Q83-I83),ABS(360-Q83+I83))<=90),0.25,0)))+IF(OR(R83="",H83="",J83=""),0.5,IF(AND(R83>=H83,R83<=J83),0.5,IF(AND(R83>=(H83-5),R83<=(J83+5)),0.25,0)))]]></f>
        <v>1</v>
      </c>
    </row>
    <row r="84" spans="2:20" ht="14.1" customHeight="1" x14ac:dyDescent="0.25">
      <c r="B84" s="59">
        <f t="shared" ref="B84:B113" si="8">B83+1</f>
        <v>2</v>
      </c>
      <c r="C84" s="50" t="str">
        <f>IF(ISBLANK(Data!I45),"",Data!I45)</f>
        <v/>
      </c>
      <c r="D84" s="51" t="str">
        <f>IF(ISBLANK(Data!J45),"",IF(Data!J45=2,0,Data!J45))</f>
        <v/>
      </c>
      <c r="E84" s="51" t="str">
        <f>IF(ISBLANK(Data!K45),"",Data!K45)</f>
        <v/>
      </c>
      <c r="F84" s="52" t="str">
        <f>IF(ISBLANK(Data!L45),"",Data!L45)</f>
        <v/>
      </c>
      <c r="G84" s="50" t="str">
        <f>IF(ISBLANK(Data!Q44),"",Data!Q44)</f>
        <v/>
      </c>
      <c r="H84" s="51" t="str">
        <f>IF(ISBLANK(Data!R44),"",IF(Data!R44=2,0,Data!R44))</f>
        <v/>
      </c>
      <c r="I84" s="51" t="str">
        <f>IF(ISBLANK(Data!S44),"",Data!S44)</f>
        <v/>
      </c>
      <c r="J84" s="52" t="str">
        <f>IF(ISBLANK(Data!T44),"",Data!T44)</f>
        <v/>
      </c>
      <c r="K84" s="50" t="str">
        <f>IF(ISBLANK(Data!AH84),"",Data!AH84)</f>
        <v/>
      </c>
      <c r="L84" s="52" t="str">
        <f>IF(ISBLANK(Data!AI84),"",Data!AI84)</f>
        <v/>
      </c>
      <c r="M84" s="53" t="str">
        <f>IF(ISBLANK(Data!AJ84),"",Data!AJ84)</f>
        <v/>
      </c>
      <c r="N84" s="54" t="str">
        <f>IF(ISBLANK(Data!AK84),"",Data!AK84)</f>
        <v/>
      </c>
      <c r="O84" s="53" t="str">
        <f>IF(ISBLANK(Data!AL84),"",Data!AL84)</f>
        <v/>
      </c>
      <c r="P84" s="54" t="str">
        <f>IF(ISBLANK(Data!AM84),"",Data!AM84)</f>
        <v/>
      </c>
      <c r="Q84" s="60" t="str">
        <f>IF(Data!K7="","",IF(Data!K7=0,1080,Data!K7))</f>
        <v/>
      </c>
      <c r="R84" s="61" t="str">
        <f>IF(ISBLANK(Data!L7),"",Data!L7)</f>
        <v/>
      </c>
      <c r="S84" s="21">
        <f t="shared" ref="S84:S113" si="9"><![CDATA[IF(OR(C84="",E84="",Q84="",C84=1080,E84=1080,Q84=1080),0.5,IF(OR(K84=C84,K84=E84,M84=C84,M84=E84,O84=C84,O84=E84,MIN(ABS(Q84-C84),ABS(360-Q84+E84))<=45),0.5,IF(OR(IF(ISNUMBER(K84),OR(MIN(ABS(K84-C84),ABS(360-K84+C84))<=45,MIN(ABS(K84-E84),ABS(360-K84+E84))<=45),FALSE),IF(ISNUMBER(M84),OR(MIN(ABS(M84-C84),ABS(360-M84+C84))<=45,MIN(ABS(M84-E84),ABS(360-M84+E84))<=45),FALSE),IF(ISNUMBER(O84),OR(MIN(ABS(O84-C84),ABS(360-O84+C84))<=45,MIN(ABS(O84-E84),ABS(360-O84+E84))<=45),FALSE),MIN(ABS(Q84-C84),ABS(360-Q84+C84))<=90,MIN(ABS(Q84-E84),ABS(360-Q84+E84))<=90),0.25,0)))+IF(OR(R84="",D84="",F84=""),0.5,IF(AND(R84>=D84,R84<=F84),0.5,IF(AND(R84>=(D84-5),R84<=(F84+5)),0.25,0)))]]></f>
        <v>1</v>
      </c>
      <c r="T84" s="58">
        <f t="shared" ref="T84:T113" si="10"><![CDATA[IF(OR(G84="",I84="",Q84="",G84=1080,I84=1080,Q84=1080),0.5,IF(OR(K84=G84,K84=I84,M84=G84,M84=I84,O84=G84,O84=I84,MIN(ABS(Q84-G84),ABS(360-Q84+I84))<=45),0.5,IF(OR(IF(ISNUMBER(K84),OR(MIN(ABS(K84-G84),ABS(360-K84+G84))<=45,MIN(ABS(K84-I84),ABS(360-K84+I84))<=45),FALSE),IF(ISNUMBER(M84),OR(MIN(ABS(M84-G84),ABS(360-M84+G84))<=45,MIN(ABS(M84-I84),ABS(360-M84+I84))<=45),FALSE),IF(ISNUMBER(O84),OR(MIN(ABS(O84-G84),ABS(360-O84+G84))<=45,MIN(ABS(O84-I84),ABS(360-O84+I84))<=45),FALSE),MIN(ABS(Q84-G84),ABS(360-Q84+G84))<=90,MIN(ABS(Q84-I84),ABS(360-Q84+I84))<=90),0.25,0)))+IF(OR(R84="",H84="",J84=""),0.5,IF(AND(R84>=H84,R84<=J84),0.5,IF(AND(R84>=(H84-5),R84<=(J84+5)),0.25,0)))]]></f>
        <v>1</v>
      </c>
    </row>
    <row r="85" spans="2:20" ht="14.1" customHeight="1" x14ac:dyDescent="0.25">
      <c r="B85" s="59">
        <f t="shared" si="8"/>
        <v>3</v>
      </c>
      <c r="C85" s="50" t="str">
        <f>IF(ISBLANK(Data!I46),"",Data!I46)</f>
        <v/>
      </c>
      <c r="D85" s="51" t="str">
        <f>IF(ISBLANK(Data!J46),"",IF(Data!J46=2,0,Data!J46))</f>
        <v/>
      </c>
      <c r="E85" s="51" t="str">
        <f>IF(ISBLANK(Data!K46),"",Data!K46)</f>
        <v/>
      </c>
      <c r="F85" s="52" t="str">
        <f>IF(ISBLANK(Data!L46),"",Data!L46)</f>
        <v/>
      </c>
      <c r="G85" s="50" t="str">
        <f>IF(ISBLANK(Data!Q45),"",Data!Q45)</f>
        <v/>
      </c>
      <c r="H85" s="51" t="str">
        <f>IF(ISBLANK(Data!R45),"",IF(Data!R45=2,0,Data!R45))</f>
        <v/>
      </c>
      <c r="I85" s="51" t="str">
        <f>IF(ISBLANK(Data!S45),"",Data!S45)</f>
        <v/>
      </c>
      <c r="J85" s="52" t="str">
        <f>IF(ISBLANK(Data!T45),"",Data!T45)</f>
        <v/>
      </c>
      <c r="K85" s="50" t="str">
        <f>IF(ISBLANK(Data!AH85),"",Data!AH85)</f>
        <v/>
      </c>
      <c r="L85" s="52" t="str">
        <f>IF(ISBLANK(Data!AI85),"",Data!AI85)</f>
        <v/>
      </c>
      <c r="M85" s="53" t="str">
        <f>IF(ISBLANK(Data!AJ85),"",Data!AJ85)</f>
        <v/>
      </c>
      <c r="N85" s="54" t="str">
        <f>IF(ISBLANK(Data!AK85),"",Data!AK85)</f>
        <v/>
      </c>
      <c r="O85" s="53" t="str">
        <f>IF(ISBLANK(Data!AL85),"",Data!AL85)</f>
        <v/>
      </c>
      <c r="P85" s="54" t="str">
        <f>IF(ISBLANK(Data!AM85),"",Data!AM85)</f>
        <v/>
      </c>
      <c r="Q85" s="60" t="str">
        <f>IF(Data!K8="","",IF(Data!K8=0,1080,Data!K8))</f>
        <v/>
      </c>
      <c r="R85" s="61" t="str">
        <f>IF(ISBLANK(Data!L8),"",Data!L8)</f>
        <v/>
      </c>
      <c r="S85" s="21">
        <f t="shared" si="9"/>
        <v>1</v>
      </c>
      <c r="T85" s="58">
        <f t="shared" si="10"/>
        <v>1</v>
      </c>
    </row>
    <row r="86" spans="2:20" ht="14.1" customHeight="1" x14ac:dyDescent="0.25">
      <c r="B86" s="59">
        <f t="shared" si="8"/>
        <v>4</v>
      </c>
      <c r="C86" s="50" t="str">
        <f>IF(ISBLANK(Data!I47),"",Data!I47)</f>
        <v/>
      </c>
      <c r="D86" s="51" t="str">
        <f>IF(ISBLANK(Data!J47),"",IF(Data!J47=2,0,Data!J47))</f>
        <v/>
      </c>
      <c r="E86" s="51" t="str">
        <f>IF(ISBLANK(Data!K47),"",Data!K47)</f>
        <v/>
      </c>
      <c r="F86" s="52" t="str">
        <f>IF(ISBLANK(Data!L47),"",Data!L47)</f>
        <v/>
      </c>
      <c r="G86" s="50" t="str">
        <f>IF(ISBLANK(Data!Q46),"",Data!Q46)</f>
        <v/>
      </c>
      <c r="H86" s="51" t="str">
        <f>IF(ISBLANK(Data!R46),"",IF(Data!R46=2,0,Data!R46))</f>
        <v/>
      </c>
      <c r="I86" s="51" t="str">
        <f>IF(ISBLANK(Data!S46),"",Data!S46)</f>
        <v/>
      </c>
      <c r="J86" s="52" t="str">
        <f>IF(ISBLANK(Data!T46),"",Data!T46)</f>
        <v/>
      </c>
      <c r="K86" s="50" t="str">
        <f>IF(ISBLANK(Data!AH86),"",Data!AH86)</f>
        <v/>
      </c>
      <c r="L86" s="52" t="str">
        <f>IF(ISBLANK(Data!AI86),"",Data!AI86)</f>
        <v/>
      </c>
      <c r="M86" s="53" t="str">
        <f>IF(ISBLANK(Data!AJ86),"",Data!AJ86)</f>
        <v/>
      </c>
      <c r="N86" s="54" t="str">
        <f>IF(ISBLANK(Data!AK86),"",Data!AK86)</f>
        <v/>
      </c>
      <c r="O86" s="53" t="str">
        <f>IF(ISBLANK(Data!AL86),"",Data!AL86)</f>
        <v/>
      </c>
      <c r="P86" s="54" t="str">
        <f>IF(ISBLANK(Data!AM86),"",Data!AM86)</f>
        <v/>
      </c>
      <c r="Q86" s="60" t="str">
        <f>IF(Data!K9="","",IF(Data!K9=0,1080,Data!K9))</f>
        <v/>
      </c>
      <c r="R86" s="61" t="str">
        <f>IF(ISBLANK(Data!L9),"",Data!L9)</f>
        <v/>
      </c>
      <c r="S86" s="21">
        <f t="shared" si="9"/>
        <v>1</v>
      </c>
      <c r="T86" s="58">
        <f t="shared" si="10"/>
        <v>1</v>
      </c>
    </row>
    <row r="87" spans="2:20" ht="14.1" customHeight="1" x14ac:dyDescent="0.25">
      <c r="B87" s="59">
        <f t="shared" si="8"/>
        <v>5</v>
      </c>
      <c r="C87" s="50" t="str">
        <f>IF(ISBLANK(Data!I48),"",Data!I48)</f>
        <v/>
      </c>
      <c r="D87" s="51" t="str">
        <f>IF(ISBLANK(Data!J48),"",IF(Data!J48=2,0,Data!J48))</f>
        <v/>
      </c>
      <c r="E87" s="51" t="str">
        <f>IF(ISBLANK(Data!K48),"",Data!K48)</f>
        <v/>
      </c>
      <c r="F87" s="52" t="str">
        <f>IF(ISBLANK(Data!L48),"",Data!L48)</f>
        <v/>
      </c>
      <c r="G87" s="50" t="str">
        <f>IF(ISBLANK(Data!Q47),"",Data!Q47)</f>
        <v/>
      </c>
      <c r="H87" s="51" t="str">
        <f>IF(ISBLANK(Data!R47),"",IF(Data!R47=2,0,Data!R47))</f>
        <v/>
      </c>
      <c r="I87" s="51" t="str">
        <f>IF(ISBLANK(Data!S47),"",Data!S47)</f>
        <v/>
      </c>
      <c r="J87" s="52" t="str">
        <f>IF(ISBLANK(Data!T47),"",Data!T47)</f>
        <v/>
      </c>
      <c r="K87" s="50" t="str">
        <f>IF(ISBLANK(Data!AH87),"",Data!AH87)</f>
        <v/>
      </c>
      <c r="L87" s="52" t="str">
        <f>IF(ISBLANK(Data!AI87),"",Data!AI87)</f>
        <v/>
      </c>
      <c r="M87" s="53" t="str">
        <f>IF(ISBLANK(Data!AJ87),"",Data!AJ87)</f>
        <v/>
      </c>
      <c r="N87" s="54" t="str">
        <f>IF(ISBLANK(Data!AK87),"",Data!AK87)</f>
        <v/>
      </c>
      <c r="O87" s="53" t="str">
        <f>IF(ISBLANK(Data!AL87),"",Data!AL87)</f>
        <v/>
      </c>
      <c r="P87" s="54" t="str">
        <f>IF(ISBLANK(Data!AM87),"",Data!AM87)</f>
        <v/>
      </c>
      <c r="Q87" s="60" t="str">
        <f>IF(Data!K10="","",IF(Data!K10=0,1080,Data!K10))</f>
        <v/>
      </c>
      <c r="R87" s="61" t="str">
        <f>IF(ISBLANK(Data!L10),"",Data!L10)</f>
        <v/>
      </c>
      <c r="S87" s="21">
        <f t="shared" si="9"/>
        <v>1</v>
      </c>
      <c r="T87" s="58">
        <f t="shared" si="10"/>
        <v>1</v>
      </c>
    </row>
    <row r="88" spans="2:20" ht="14.1" customHeight="1" x14ac:dyDescent="0.25">
      <c r="B88" s="59">
        <f t="shared" si="8"/>
        <v>6</v>
      </c>
      <c r="C88" s="50" t="str">
        <f>IF(ISBLANK(Data!I49),"",Data!I49)</f>
        <v/>
      </c>
      <c r="D88" s="51" t="str">
        <f>IF(ISBLANK(Data!J49),"",IF(Data!J49=2,0,Data!J49))</f>
        <v/>
      </c>
      <c r="E88" s="51" t="str">
        <f>IF(ISBLANK(Data!K49),"",Data!K49)</f>
        <v/>
      </c>
      <c r="F88" s="52" t="str">
        <f>IF(ISBLANK(Data!L49),"",Data!L49)</f>
        <v/>
      </c>
      <c r="G88" s="50" t="str">
        <f>IF(ISBLANK(Data!Q48),"",Data!Q48)</f>
        <v/>
      </c>
      <c r="H88" s="51" t="str">
        <f>IF(ISBLANK(Data!R48),"",IF(Data!R48=2,0,Data!R48))</f>
        <v/>
      </c>
      <c r="I88" s="51" t="str">
        <f>IF(ISBLANK(Data!S48),"",Data!S48)</f>
        <v/>
      </c>
      <c r="J88" s="52" t="str">
        <f>IF(ISBLANK(Data!T48),"",Data!T48)</f>
        <v/>
      </c>
      <c r="K88" s="50" t="str">
        <f>IF(ISBLANK(Data!AH88),"",Data!AH88)</f>
        <v/>
      </c>
      <c r="L88" s="52" t="str">
        <f>IF(ISBLANK(Data!AI88),"",Data!AI88)</f>
        <v/>
      </c>
      <c r="M88" s="53" t="str">
        <f>IF(ISBLANK(Data!AJ88),"",Data!AJ88)</f>
        <v/>
      </c>
      <c r="N88" s="54" t="str">
        <f>IF(ISBLANK(Data!AK88),"",Data!AK88)</f>
        <v/>
      </c>
      <c r="O88" s="53" t="str">
        <f>IF(ISBLANK(Data!AL88),"",Data!AL88)</f>
        <v/>
      </c>
      <c r="P88" s="54" t="str">
        <f>IF(ISBLANK(Data!AM88),"",Data!AM88)</f>
        <v/>
      </c>
      <c r="Q88" s="60" t="str">
        <f>IF(Data!K11="","",IF(Data!K11=0,1080,Data!K11))</f>
        <v/>
      </c>
      <c r="R88" s="61" t="str">
        <f>IF(ISBLANK(Data!L11),"",Data!L11)</f>
        <v/>
      </c>
      <c r="S88" s="21">
        <f t="shared" si="9"/>
        <v>1</v>
      </c>
      <c r="T88" s="58">
        <f t="shared" si="10"/>
        <v>1</v>
      </c>
    </row>
    <row r="89" spans="2:20" ht="14.1" customHeight="1" x14ac:dyDescent="0.25">
      <c r="B89" s="59">
        <f t="shared" si="8"/>
        <v>7</v>
      </c>
      <c r="C89" s="50" t="str">
        <f>IF(ISBLANK(Data!I50),"",Data!I50)</f>
        <v/>
      </c>
      <c r="D89" s="51" t="str">
        <f>IF(ISBLANK(Data!J50),"",IF(Data!J50=2,0,Data!J50))</f>
        <v/>
      </c>
      <c r="E89" s="51" t="str">
        <f>IF(ISBLANK(Data!K50),"",Data!K50)</f>
        <v/>
      </c>
      <c r="F89" s="52" t="str">
        <f>IF(ISBLANK(Data!L50),"",Data!L50)</f>
        <v/>
      </c>
      <c r="G89" s="50" t="str">
        <f>IF(ISBLANK(Data!Q49),"",Data!Q49)</f>
        <v/>
      </c>
      <c r="H89" s="51" t="str">
        <f>IF(ISBLANK(Data!R49),"",IF(Data!R49=2,0,Data!R49))</f>
        <v/>
      </c>
      <c r="I89" s="51" t="str">
        <f>IF(ISBLANK(Data!S49),"",Data!S49)</f>
        <v/>
      </c>
      <c r="J89" s="52" t="str">
        <f>IF(ISBLANK(Data!T49),"",Data!T49)</f>
        <v/>
      </c>
      <c r="K89" s="50" t="str">
        <f>IF(ISBLANK(Data!AH89),"",Data!AH89)</f>
        <v/>
      </c>
      <c r="L89" s="52" t="str">
        <f>IF(ISBLANK(Data!AI89),"",Data!AI89)</f>
        <v/>
      </c>
      <c r="M89" s="53" t="str">
        <f>IF(ISBLANK(Data!AJ89),"",Data!AJ89)</f>
        <v/>
      </c>
      <c r="N89" s="54" t="str">
        <f>IF(ISBLANK(Data!AK89),"",Data!AK89)</f>
        <v/>
      </c>
      <c r="O89" s="53" t="str">
        <f>IF(ISBLANK(Data!AL89),"",Data!AL89)</f>
        <v/>
      </c>
      <c r="P89" s="54" t="str">
        <f>IF(ISBLANK(Data!AM89),"",Data!AM89)</f>
        <v/>
      </c>
      <c r="Q89" s="60" t="str">
        <f>IF(Data!K12="","",IF(Data!K12=0,1080,Data!K12))</f>
        <v/>
      </c>
      <c r="R89" s="61" t="str">
        <f>IF(ISBLANK(Data!L12),"",Data!L12)</f>
        <v/>
      </c>
      <c r="S89" s="21">
        <f t="shared" si="9"/>
        <v>1</v>
      </c>
      <c r="T89" s="58">
        <f t="shared" si="10"/>
        <v>1</v>
      </c>
    </row>
    <row r="90" spans="2:20" ht="14.1" customHeight="1" x14ac:dyDescent="0.25">
      <c r="B90" s="59">
        <f t="shared" si="8"/>
        <v>8</v>
      </c>
      <c r="C90" s="50" t="str">
        <f>IF(ISBLANK(Data!I51),"",Data!I51)</f>
        <v/>
      </c>
      <c r="D90" s="51" t="str">
        <f>IF(ISBLANK(Data!J51),"",IF(Data!J51=2,0,Data!J51))</f>
        <v/>
      </c>
      <c r="E90" s="51" t="str">
        <f>IF(ISBLANK(Data!K51),"",Data!K51)</f>
        <v/>
      </c>
      <c r="F90" s="52" t="str">
        <f>IF(ISBLANK(Data!L51),"",Data!L51)</f>
        <v/>
      </c>
      <c r="G90" s="50" t="str">
        <f>IF(ISBLANK(Data!Q50),"",Data!Q50)</f>
        <v/>
      </c>
      <c r="H90" s="51" t="str">
        <f>IF(ISBLANK(Data!R50),"",IF(Data!R50=2,0,Data!R50))</f>
        <v/>
      </c>
      <c r="I90" s="51" t="str">
        <f>IF(ISBLANK(Data!S50),"",Data!S50)</f>
        <v/>
      </c>
      <c r="J90" s="52" t="str">
        <f>IF(ISBLANK(Data!T50),"",Data!T50)</f>
        <v/>
      </c>
      <c r="K90" s="50" t="str">
        <f>IF(ISBLANK(Data!AH90),"",Data!AH90)</f>
        <v/>
      </c>
      <c r="L90" s="52" t="str">
        <f>IF(ISBLANK(Data!AI90),"",Data!AI90)</f>
        <v/>
      </c>
      <c r="M90" s="53" t="str">
        <f>IF(ISBLANK(Data!AJ90),"",Data!AJ90)</f>
        <v/>
      </c>
      <c r="N90" s="54" t="str">
        <f>IF(ISBLANK(Data!AK90),"",Data!AK90)</f>
        <v/>
      </c>
      <c r="O90" s="53" t="str">
        <f>IF(ISBLANK(Data!AL90),"",Data!AL90)</f>
        <v/>
      </c>
      <c r="P90" s="54" t="str">
        <f>IF(ISBLANK(Data!AM90),"",Data!AM90)</f>
        <v/>
      </c>
      <c r="Q90" s="60" t="str">
        <f>IF(Data!K13="","",IF(Data!K13=0,1080,Data!K13))</f>
        <v/>
      </c>
      <c r="R90" s="61" t="str">
        <f>IF(ISBLANK(Data!L13),"",Data!L13)</f>
        <v/>
      </c>
      <c r="S90" s="21">
        <f t="shared" si="9"/>
        <v>1</v>
      </c>
      <c r="T90" s="58">
        <f t="shared" si="10"/>
        <v>1</v>
      </c>
    </row>
    <row r="91" spans="2:20" ht="14.1" customHeight="1" x14ac:dyDescent="0.25">
      <c r="B91" s="59">
        <f t="shared" si="8"/>
        <v>9</v>
      </c>
      <c r="C91" s="50" t="str">
        <f>IF(ISBLANK(Data!I52),"",Data!I52)</f>
        <v/>
      </c>
      <c r="D91" s="51" t="str">
        <f>IF(ISBLANK(Data!J52),"",IF(Data!J52=2,0,Data!J52))</f>
        <v/>
      </c>
      <c r="E91" s="51" t="str">
        <f>IF(ISBLANK(Data!K52),"",Data!K52)</f>
        <v/>
      </c>
      <c r="F91" s="52" t="str">
        <f>IF(ISBLANK(Data!L52),"",Data!L52)</f>
        <v/>
      </c>
      <c r="G91" s="50" t="str">
        <f>IF(ISBLANK(Data!Q51),"",Data!Q51)</f>
        <v/>
      </c>
      <c r="H91" s="51" t="str">
        <f>IF(ISBLANK(Data!R51),"",IF(Data!R51=2,0,Data!R51))</f>
        <v/>
      </c>
      <c r="I91" s="51" t="str">
        <f>IF(ISBLANK(Data!S51),"",Data!S51)</f>
        <v/>
      </c>
      <c r="J91" s="52" t="str">
        <f>IF(ISBLANK(Data!T51),"",Data!T51)</f>
        <v/>
      </c>
      <c r="K91" s="50" t="str">
        <f>IF(ISBLANK(Data!AH91),"",Data!AH91)</f>
        <v/>
      </c>
      <c r="L91" s="52" t="str">
        <f>IF(ISBLANK(Data!AI91),"",Data!AI91)</f>
        <v/>
      </c>
      <c r="M91" s="53" t="str">
        <f>IF(ISBLANK(Data!AJ91),"",Data!AJ91)</f>
        <v/>
      </c>
      <c r="N91" s="54" t="str">
        <f>IF(ISBLANK(Data!AK91),"",Data!AK91)</f>
        <v/>
      </c>
      <c r="O91" s="53" t="str">
        <f>IF(ISBLANK(Data!AL91),"",Data!AL91)</f>
        <v/>
      </c>
      <c r="P91" s="54" t="str">
        <f>IF(ISBLANK(Data!AM91),"",Data!AM91)</f>
        <v/>
      </c>
      <c r="Q91" s="60" t="str">
        <f>IF(Data!K14="","",IF(Data!K14=0,1080,Data!K14))</f>
        <v/>
      </c>
      <c r="R91" s="61" t="str">
        <f>IF(ISBLANK(Data!L14),"",Data!L14)</f>
        <v/>
      </c>
      <c r="S91" s="21">
        <f t="shared" si="9"/>
        <v>1</v>
      </c>
      <c r="T91" s="58">
        <f t="shared" si="10"/>
        <v>1</v>
      </c>
    </row>
    <row r="92" spans="2:20" ht="14.1" customHeight="1" x14ac:dyDescent="0.25">
      <c r="B92" s="59">
        <f t="shared" si="8"/>
        <v>10</v>
      </c>
      <c r="C92" s="50" t="str">
        <f>IF(ISBLANK(Data!I53),"",Data!I53)</f>
        <v/>
      </c>
      <c r="D92" s="51" t="str">
        <f>IF(ISBLANK(Data!J53),"",IF(Data!J53=2,0,Data!J53))</f>
        <v/>
      </c>
      <c r="E92" s="51" t="str">
        <f>IF(ISBLANK(Data!K53),"",Data!K53)</f>
        <v/>
      </c>
      <c r="F92" s="52" t="str">
        <f>IF(ISBLANK(Data!L53),"",Data!L53)</f>
        <v/>
      </c>
      <c r="G92" s="50" t="str">
        <f>IF(ISBLANK(Data!Q52),"",Data!Q52)</f>
        <v/>
      </c>
      <c r="H92" s="51" t="str">
        <f>IF(ISBLANK(Data!R52),"",IF(Data!R52=2,0,Data!R52))</f>
        <v/>
      </c>
      <c r="I92" s="51" t="str">
        <f>IF(ISBLANK(Data!S52),"",Data!S52)</f>
        <v/>
      </c>
      <c r="J92" s="52" t="str">
        <f>IF(ISBLANK(Data!T52),"",Data!T52)</f>
        <v/>
      </c>
      <c r="K92" s="50" t="str">
        <f>IF(ISBLANK(Data!AH92),"",Data!AH92)</f>
        <v/>
      </c>
      <c r="L92" s="52" t="str">
        <f>IF(ISBLANK(Data!AI92),"",Data!AI92)</f>
        <v/>
      </c>
      <c r="M92" s="53" t="str">
        <f>IF(ISBLANK(Data!AJ92),"",Data!AJ92)</f>
        <v/>
      </c>
      <c r="N92" s="54" t="str">
        <f>IF(ISBLANK(Data!AK92),"",Data!AK92)</f>
        <v/>
      </c>
      <c r="O92" s="53" t="str">
        <f>IF(ISBLANK(Data!AL92),"",Data!AL92)</f>
        <v/>
      </c>
      <c r="P92" s="54" t="str">
        <f>IF(ISBLANK(Data!AM92),"",Data!AM92)</f>
        <v/>
      </c>
      <c r="Q92" s="60" t="str">
        <f>IF(Data!K15="","",IF(Data!K15=0,1080,Data!K15))</f>
        <v/>
      </c>
      <c r="R92" s="61" t="str">
        <f>IF(ISBLANK(Data!L15),"",Data!L15)</f>
        <v/>
      </c>
      <c r="S92" s="21">
        <f t="shared" si="9"/>
        <v>1</v>
      </c>
      <c r="T92" s="58">
        <f t="shared" si="10"/>
        <v>1</v>
      </c>
    </row>
    <row r="93" spans="2:20" ht="14.1" customHeight="1" x14ac:dyDescent="0.25">
      <c r="B93" s="59">
        <f t="shared" si="8"/>
        <v>11</v>
      </c>
      <c r="C93" s="50" t="str">
        <f>IF(ISBLANK(Data!I54),"",Data!I54)</f>
        <v/>
      </c>
      <c r="D93" s="51" t="str">
        <f>IF(ISBLANK(Data!J54),"",IF(Data!J54=2,0,Data!J54))</f>
        <v/>
      </c>
      <c r="E93" s="51" t="str">
        <f>IF(ISBLANK(Data!K54),"",Data!K54)</f>
        <v/>
      </c>
      <c r="F93" s="52" t="str">
        <f>IF(ISBLANK(Data!L54),"",Data!L54)</f>
        <v/>
      </c>
      <c r="G93" s="50" t="str">
        <f>IF(ISBLANK(Data!Q53),"",Data!Q53)</f>
        <v/>
      </c>
      <c r="H93" s="51" t="str">
        <f>IF(ISBLANK(Data!R53),"",IF(Data!R53=2,0,Data!R53))</f>
        <v/>
      </c>
      <c r="I93" s="51" t="str">
        <f>IF(ISBLANK(Data!S53),"",Data!S53)</f>
        <v/>
      </c>
      <c r="J93" s="52" t="str">
        <f>IF(ISBLANK(Data!T53),"",Data!T53)</f>
        <v/>
      </c>
      <c r="K93" s="50" t="str">
        <f>IF(ISBLANK(Data!AH93),"",Data!AH93)</f>
        <v/>
      </c>
      <c r="L93" s="52" t="str">
        <f>IF(ISBLANK(Data!AI93),"",Data!AI93)</f>
        <v/>
      </c>
      <c r="M93" s="53" t="str">
        <f>IF(ISBLANK(Data!AJ93),"",Data!AJ93)</f>
        <v/>
      </c>
      <c r="N93" s="54" t="str">
        <f>IF(ISBLANK(Data!AK93),"",Data!AK93)</f>
        <v/>
      </c>
      <c r="O93" s="53" t="str">
        <f>IF(ISBLANK(Data!AL93),"",Data!AL93)</f>
        <v/>
      </c>
      <c r="P93" s="54" t="str">
        <f>IF(ISBLANK(Data!AM93),"",Data!AM93)</f>
        <v/>
      </c>
      <c r="Q93" s="60" t="str">
        <f>IF(Data!K16="","",IF(Data!K16=0,1080,Data!K16))</f>
        <v/>
      </c>
      <c r="R93" s="61" t="str">
        <f>IF(ISBLANK(Data!L16),"",Data!L16)</f>
        <v/>
      </c>
      <c r="S93" s="21">
        <f t="shared" si="9"/>
        <v>1</v>
      </c>
      <c r="T93" s="58">
        <f t="shared" si="10"/>
        <v>1</v>
      </c>
    </row>
    <row r="94" spans="2:20" ht="14.1" customHeight="1" x14ac:dyDescent="0.25">
      <c r="B94" s="59">
        <f t="shared" si="8"/>
        <v>12</v>
      </c>
      <c r="C94" s="50" t="str">
        <f>IF(ISBLANK(Data!I55),"",Data!I55)</f>
        <v/>
      </c>
      <c r="D94" s="51" t="str">
        <f>IF(ISBLANK(Data!J55),"",IF(Data!J55=2,0,Data!J55))</f>
        <v/>
      </c>
      <c r="E94" s="51" t="str">
        <f>IF(ISBLANK(Data!K55),"",Data!K55)</f>
        <v/>
      </c>
      <c r="F94" s="52" t="str">
        <f>IF(ISBLANK(Data!L55),"",Data!L55)</f>
        <v/>
      </c>
      <c r="G94" s="50" t="str">
        <f>IF(ISBLANK(Data!Q54),"",Data!Q54)</f>
        <v/>
      </c>
      <c r="H94" s="51" t="str">
        <f>IF(ISBLANK(Data!R54),"",IF(Data!R54=2,0,Data!R54))</f>
        <v/>
      </c>
      <c r="I94" s="51" t="str">
        <f>IF(ISBLANK(Data!S54),"",Data!S54)</f>
        <v/>
      </c>
      <c r="J94" s="52" t="str">
        <f>IF(ISBLANK(Data!T54),"",Data!T54)</f>
        <v/>
      </c>
      <c r="K94" s="50" t="str">
        <f>IF(ISBLANK(Data!AH94),"",Data!AH94)</f>
        <v/>
      </c>
      <c r="L94" s="52" t="str">
        <f>IF(ISBLANK(Data!AI94),"",Data!AI94)</f>
        <v/>
      </c>
      <c r="M94" s="53" t="str">
        <f>IF(ISBLANK(Data!AJ94),"",Data!AJ94)</f>
        <v/>
      </c>
      <c r="N94" s="54" t="str">
        <f>IF(ISBLANK(Data!AK94),"",Data!AK94)</f>
        <v/>
      </c>
      <c r="O94" s="53" t="str">
        <f>IF(ISBLANK(Data!AL94),"",Data!AL94)</f>
        <v/>
      </c>
      <c r="P94" s="54" t="str">
        <f>IF(ISBLANK(Data!AM94),"",Data!AM94)</f>
        <v/>
      </c>
      <c r="Q94" s="60" t="str">
        <f>IF(Data!K17="","",IF(Data!K17=0,1080,Data!K17))</f>
        <v/>
      </c>
      <c r="R94" s="61" t="str">
        <f>IF(ISBLANK(Data!L17),"",Data!L17)</f>
        <v/>
      </c>
      <c r="S94" s="21">
        <f t="shared" si="9"/>
        <v>1</v>
      </c>
      <c r="T94" s="58">
        <f t="shared" si="10"/>
        <v>1</v>
      </c>
    </row>
    <row r="95" spans="2:20" ht="14.1" customHeight="1" x14ac:dyDescent="0.25">
      <c r="B95" s="59">
        <f t="shared" si="8"/>
        <v>13</v>
      </c>
      <c r="C95" s="50" t="str">
        <f>IF(ISBLANK(Data!I56),"",Data!I56)</f>
        <v/>
      </c>
      <c r="D95" s="51" t="str">
        <f>IF(ISBLANK(Data!J56),"",IF(Data!J56=2,0,Data!J56))</f>
        <v/>
      </c>
      <c r="E95" s="51" t="str">
        <f>IF(ISBLANK(Data!K56),"",Data!K56)</f>
        <v/>
      </c>
      <c r="F95" s="52" t="str">
        <f>IF(ISBLANK(Data!L56),"",Data!L56)</f>
        <v/>
      </c>
      <c r="G95" s="50" t="str">
        <f>IF(ISBLANK(Data!Q55),"",Data!Q55)</f>
        <v/>
      </c>
      <c r="H95" s="51" t="str">
        <f>IF(ISBLANK(Data!R55),"",IF(Data!R55=2,0,Data!R55))</f>
        <v/>
      </c>
      <c r="I95" s="51" t="str">
        <f>IF(ISBLANK(Data!S55),"",Data!S55)</f>
        <v/>
      </c>
      <c r="J95" s="52" t="str">
        <f>IF(ISBLANK(Data!T55),"",Data!T55)</f>
        <v/>
      </c>
      <c r="K95" s="50" t="str">
        <f>IF(ISBLANK(Data!AH95),"",Data!AH95)</f>
        <v/>
      </c>
      <c r="L95" s="52" t="str">
        <f>IF(ISBLANK(Data!AI95),"",Data!AI95)</f>
        <v/>
      </c>
      <c r="M95" s="53" t="str">
        <f>IF(ISBLANK(Data!AJ95),"",Data!AJ95)</f>
        <v/>
      </c>
      <c r="N95" s="54" t="str">
        <f>IF(ISBLANK(Data!AK95),"",Data!AK95)</f>
        <v/>
      </c>
      <c r="O95" s="53" t="str">
        <f>IF(ISBLANK(Data!AL95),"",Data!AL95)</f>
        <v/>
      </c>
      <c r="P95" s="54" t="str">
        <f>IF(ISBLANK(Data!AM95),"",Data!AM95)</f>
        <v/>
      </c>
      <c r="Q95" s="60" t="str">
        <f>IF(Data!K18="","",IF(Data!K18=0,1080,Data!K18))</f>
        <v/>
      </c>
      <c r="R95" s="61" t="str">
        <f>IF(ISBLANK(Data!L18),"",Data!L18)</f>
        <v/>
      </c>
      <c r="S95" s="21">
        <f t="shared" si="9"/>
        <v>1</v>
      </c>
      <c r="T95" s="58">
        <f t="shared" si="10"/>
        <v>1</v>
      </c>
    </row>
    <row r="96" spans="2:20" ht="14.1" customHeight="1" x14ac:dyDescent="0.25">
      <c r="B96" s="59">
        <f t="shared" si="8"/>
        <v>14</v>
      </c>
      <c r="C96" s="50" t="str">
        <f>IF(ISBLANK(Data!I57),"",Data!I57)</f>
        <v/>
      </c>
      <c r="D96" s="51" t="str">
        <f>IF(ISBLANK(Data!J57),"",IF(Data!J57=2,0,Data!J57))</f>
        <v/>
      </c>
      <c r="E96" s="51" t="str">
        <f>IF(ISBLANK(Data!K57),"",Data!K57)</f>
        <v/>
      </c>
      <c r="F96" s="52" t="str">
        <f>IF(ISBLANK(Data!L57),"",Data!L57)</f>
        <v/>
      </c>
      <c r="G96" s="50" t="str">
        <f>IF(ISBLANK(Data!Q56),"",Data!Q56)</f>
        <v/>
      </c>
      <c r="H96" s="51" t="str">
        <f>IF(ISBLANK(Data!R56),"",IF(Data!R56=2,0,Data!R56))</f>
        <v/>
      </c>
      <c r="I96" s="51" t="str">
        <f>IF(ISBLANK(Data!S56),"",Data!S56)</f>
        <v/>
      </c>
      <c r="J96" s="52" t="str">
        <f>IF(ISBLANK(Data!T56),"",Data!T56)</f>
        <v/>
      </c>
      <c r="K96" s="50" t="str">
        <f>IF(ISBLANK(Data!AH96),"",Data!AH96)</f>
        <v/>
      </c>
      <c r="L96" s="52" t="str">
        <f>IF(ISBLANK(Data!AI96),"",Data!AI96)</f>
        <v/>
      </c>
      <c r="M96" s="53" t="str">
        <f>IF(ISBLANK(Data!AJ96),"",Data!AJ96)</f>
        <v/>
      </c>
      <c r="N96" s="54" t="str">
        <f>IF(ISBLANK(Data!AK96),"",Data!AK96)</f>
        <v/>
      </c>
      <c r="O96" s="53" t="str">
        <f>IF(ISBLANK(Data!AL96),"",Data!AL96)</f>
        <v/>
      </c>
      <c r="P96" s="54" t="str">
        <f>IF(ISBLANK(Data!AM96),"",Data!AM96)</f>
        <v/>
      </c>
      <c r="Q96" s="60" t="str">
        <f>IF(Data!K19="","",IF(Data!K19=0,1080,Data!K19))</f>
        <v/>
      </c>
      <c r="R96" s="61" t="str">
        <f>IF(ISBLANK(Data!L19),"",Data!L19)</f>
        <v/>
      </c>
      <c r="S96" s="21">
        <f t="shared" si="9"/>
        <v>1</v>
      </c>
      <c r="T96" s="58">
        <f t="shared" si="10"/>
        <v>1</v>
      </c>
    </row>
    <row r="97" spans="2:20" ht="14.1" customHeight="1" x14ac:dyDescent="0.25">
      <c r="B97" s="59">
        <f t="shared" si="8"/>
        <v>15</v>
      </c>
      <c r="C97" s="50" t="str">
        <f>IF(ISBLANK(Data!I58),"",Data!I58)</f>
        <v/>
      </c>
      <c r="D97" s="51" t="str">
        <f>IF(ISBLANK(Data!J58),"",IF(Data!J58=2,0,Data!J58))</f>
        <v/>
      </c>
      <c r="E97" s="51" t="str">
        <f>IF(ISBLANK(Data!K58),"",Data!K58)</f>
        <v/>
      </c>
      <c r="F97" s="52" t="str">
        <f>IF(ISBLANK(Data!L58),"",Data!L58)</f>
        <v/>
      </c>
      <c r="G97" s="50" t="str">
        <f>IF(ISBLANK(Data!Q57),"",Data!Q57)</f>
        <v/>
      </c>
      <c r="H97" s="51" t="str">
        <f>IF(ISBLANK(Data!R57),"",IF(Data!R57=2,0,Data!R57))</f>
        <v/>
      </c>
      <c r="I97" s="51" t="str">
        <f>IF(ISBLANK(Data!S57),"",Data!S57)</f>
        <v/>
      </c>
      <c r="J97" s="52" t="str">
        <f>IF(ISBLANK(Data!T57),"",Data!T57)</f>
        <v/>
      </c>
      <c r="K97" s="50" t="str">
        <f>IF(ISBLANK(Data!AH97),"",Data!AH97)</f>
        <v/>
      </c>
      <c r="L97" s="52" t="str">
        <f>IF(ISBLANK(Data!AI97),"",Data!AI97)</f>
        <v/>
      </c>
      <c r="M97" s="53" t="str">
        <f>IF(ISBLANK(Data!AJ97),"",Data!AJ97)</f>
        <v/>
      </c>
      <c r="N97" s="54" t="str">
        <f>IF(ISBLANK(Data!AK97),"",Data!AK97)</f>
        <v/>
      </c>
      <c r="O97" s="53" t="str">
        <f>IF(ISBLANK(Data!AL97),"",Data!AL97)</f>
        <v/>
      </c>
      <c r="P97" s="54" t="str">
        <f>IF(ISBLANK(Data!AM97),"",Data!AM97)</f>
        <v/>
      </c>
      <c r="Q97" s="60" t="str">
        <f>IF(Data!K20="","",IF(Data!K20=0,1080,Data!K20))</f>
        <v/>
      </c>
      <c r="R97" s="61" t="str">
        <f>IF(ISBLANK(Data!L20),"",Data!L20)</f>
        <v/>
      </c>
      <c r="S97" s="21">
        <f t="shared" si="9"/>
        <v>1</v>
      </c>
      <c r="T97" s="58">
        <f t="shared" si="10"/>
        <v>1</v>
      </c>
    </row>
    <row r="98" spans="2:20" ht="14.1" customHeight="1" x14ac:dyDescent="0.25">
      <c r="B98" s="59">
        <f t="shared" si="8"/>
        <v>16</v>
      </c>
      <c r="C98" s="50" t="str">
        <f>IF(ISBLANK(Data!I59),"",Data!I59)</f>
        <v/>
      </c>
      <c r="D98" s="51" t="str">
        <f>IF(ISBLANK(Data!J59),"",IF(Data!J59=2,0,Data!J59))</f>
        <v/>
      </c>
      <c r="E98" s="51" t="str">
        <f>IF(ISBLANK(Data!K59),"",Data!K59)</f>
        <v/>
      </c>
      <c r="F98" s="52" t="str">
        <f>IF(ISBLANK(Data!L59),"",Data!L59)</f>
        <v/>
      </c>
      <c r="G98" s="50" t="str">
        <f>IF(ISBLANK(Data!Q58),"",Data!Q58)</f>
        <v/>
      </c>
      <c r="H98" s="51" t="str">
        <f>IF(ISBLANK(Data!R58),"",IF(Data!R58=2,0,Data!R58))</f>
        <v/>
      </c>
      <c r="I98" s="51" t="str">
        <f>IF(ISBLANK(Data!S58),"",Data!S58)</f>
        <v/>
      </c>
      <c r="J98" s="52" t="str">
        <f>IF(ISBLANK(Data!T58),"",Data!T58)</f>
        <v/>
      </c>
      <c r="K98" s="50" t="str">
        <f>IF(ISBLANK(Data!AH98),"",Data!AH98)</f>
        <v/>
      </c>
      <c r="L98" s="52" t="str">
        <f>IF(ISBLANK(Data!AI98),"",Data!AI98)</f>
        <v/>
      </c>
      <c r="M98" s="53" t="str">
        <f>IF(ISBLANK(Data!AJ98),"",Data!AJ98)</f>
        <v/>
      </c>
      <c r="N98" s="54" t="str">
        <f>IF(ISBLANK(Data!AK98),"",Data!AK98)</f>
        <v/>
      </c>
      <c r="O98" s="53" t="str">
        <f>IF(ISBLANK(Data!AL98),"",Data!AL98)</f>
        <v/>
      </c>
      <c r="P98" s="54" t="str">
        <f>IF(ISBLANK(Data!AM98),"",Data!AM98)</f>
        <v/>
      </c>
      <c r="Q98" s="60" t="str">
        <f>IF(Data!K21="","",IF(Data!K21=0,1080,Data!K21))</f>
        <v/>
      </c>
      <c r="R98" s="61" t="str">
        <f>IF(ISBLANK(Data!L21),"",Data!L21)</f>
        <v/>
      </c>
      <c r="S98" s="21">
        <f t="shared" si="9"/>
        <v>1</v>
      </c>
      <c r="T98" s="58">
        <f t="shared" si="10"/>
        <v>1</v>
      </c>
    </row>
    <row r="99" spans="2:20" ht="14.1" customHeight="1" x14ac:dyDescent="0.25">
      <c r="B99" s="59">
        <f t="shared" si="8"/>
        <v>17</v>
      </c>
      <c r="C99" s="50" t="str">
        <f>IF(ISBLANK(Data!I60),"",Data!I60)</f>
        <v/>
      </c>
      <c r="D99" s="51" t="str">
        <f>IF(ISBLANK(Data!J60),"",IF(Data!J60=2,0,Data!J60))</f>
        <v/>
      </c>
      <c r="E99" s="51" t="str">
        <f>IF(ISBLANK(Data!K60),"",Data!K60)</f>
        <v/>
      </c>
      <c r="F99" s="52" t="str">
        <f>IF(ISBLANK(Data!L60),"",Data!L60)</f>
        <v/>
      </c>
      <c r="G99" s="50" t="str">
        <f>IF(ISBLANK(Data!Q59),"",Data!Q59)</f>
        <v/>
      </c>
      <c r="H99" s="51" t="str">
        <f>IF(ISBLANK(Data!R59),"",IF(Data!R59=2,0,Data!R59))</f>
        <v/>
      </c>
      <c r="I99" s="51" t="str">
        <f>IF(ISBLANK(Data!S59),"",Data!S59)</f>
        <v/>
      </c>
      <c r="J99" s="52" t="str">
        <f>IF(ISBLANK(Data!T59),"",Data!T59)</f>
        <v/>
      </c>
      <c r="K99" s="50" t="str">
        <f>IF(ISBLANK(Data!AH99),"",Data!AH99)</f>
        <v/>
      </c>
      <c r="L99" s="52" t="str">
        <f>IF(ISBLANK(Data!AI99),"",Data!AI99)</f>
        <v/>
      </c>
      <c r="M99" s="53" t="str">
        <f>IF(ISBLANK(Data!AJ99),"",Data!AJ99)</f>
        <v/>
      </c>
      <c r="N99" s="54" t="str">
        <f>IF(ISBLANK(Data!AK99),"",Data!AK99)</f>
        <v/>
      </c>
      <c r="O99" s="53" t="str">
        <f>IF(ISBLANK(Data!AL99),"",Data!AL99)</f>
        <v/>
      </c>
      <c r="P99" s="54" t="str">
        <f>IF(ISBLANK(Data!AM99),"",Data!AM99)</f>
        <v/>
      </c>
      <c r="Q99" s="60" t="str">
        <f>IF(Data!K22="","",IF(Data!K22=0,1080,Data!K22))</f>
        <v/>
      </c>
      <c r="R99" s="61" t="str">
        <f>IF(ISBLANK(Data!L22),"",Data!L22)</f>
        <v/>
      </c>
      <c r="S99" s="21">
        <f t="shared" si="9"/>
        <v>1</v>
      </c>
      <c r="T99" s="58">
        <f t="shared" si="10"/>
        <v>1</v>
      </c>
    </row>
    <row r="100" spans="2:20" ht="14.1" customHeight="1" x14ac:dyDescent="0.25">
      <c r="B100" s="59">
        <f t="shared" si="8"/>
        <v>18</v>
      </c>
      <c r="C100" s="50" t="str">
        <f>IF(ISBLANK(Data!I61),"",Data!I61)</f>
        <v/>
      </c>
      <c r="D100" s="51" t="str">
        <f>IF(ISBLANK(Data!J61),"",IF(Data!J61=2,0,Data!J61))</f>
        <v/>
      </c>
      <c r="E100" s="51" t="str">
        <f>IF(ISBLANK(Data!K61),"",Data!K61)</f>
        <v/>
      </c>
      <c r="F100" s="52" t="str">
        <f>IF(ISBLANK(Data!L61),"",Data!L61)</f>
        <v/>
      </c>
      <c r="G100" s="50" t="str">
        <f>IF(ISBLANK(Data!Q60),"",Data!Q60)</f>
        <v/>
      </c>
      <c r="H100" s="51" t="str">
        <f>IF(ISBLANK(Data!R60),"",IF(Data!R60=2,0,Data!R60))</f>
        <v/>
      </c>
      <c r="I100" s="51" t="str">
        <f>IF(ISBLANK(Data!S60),"",Data!S60)</f>
        <v/>
      </c>
      <c r="J100" s="52" t="str">
        <f>IF(ISBLANK(Data!T60),"",Data!T60)</f>
        <v/>
      </c>
      <c r="K100" s="50" t="str">
        <f>IF(ISBLANK(Data!AH100),"",Data!AH100)</f>
        <v/>
      </c>
      <c r="L100" s="52" t="str">
        <f>IF(ISBLANK(Data!AI100),"",Data!AI100)</f>
        <v/>
      </c>
      <c r="M100" s="53" t="str">
        <f>IF(ISBLANK(Data!AJ100),"",Data!AJ100)</f>
        <v/>
      </c>
      <c r="N100" s="54" t="str">
        <f>IF(ISBLANK(Data!AK100),"",Data!AK100)</f>
        <v/>
      </c>
      <c r="O100" s="53" t="str">
        <f>IF(ISBLANK(Data!AL100),"",Data!AL100)</f>
        <v/>
      </c>
      <c r="P100" s="54" t="str">
        <f>IF(ISBLANK(Data!AM100),"",Data!AM100)</f>
        <v/>
      </c>
      <c r="Q100" s="60" t="str">
        <f>IF(Data!K23="","",IF(Data!K23=0,1080,Data!K23))</f>
        <v/>
      </c>
      <c r="R100" s="61" t="str">
        <f>IF(ISBLANK(Data!L23),"",Data!L23)</f>
        <v/>
      </c>
      <c r="S100" s="21">
        <f t="shared" si="9"/>
        <v>1</v>
      </c>
      <c r="T100" s="58">
        <f t="shared" si="10"/>
        <v>1</v>
      </c>
    </row>
    <row r="101" spans="2:20" ht="14.1" customHeight="1" x14ac:dyDescent="0.25">
      <c r="B101" s="59">
        <f t="shared" si="8"/>
        <v>19</v>
      </c>
      <c r="C101" s="50" t="str">
        <f>IF(ISBLANK(Data!I62),"",Data!I62)</f>
        <v/>
      </c>
      <c r="D101" s="51" t="str">
        <f>IF(ISBLANK(Data!J62),"",IF(Data!J62=2,0,Data!J62))</f>
        <v/>
      </c>
      <c r="E101" s="51" t="str">
        <f>IF(ISBLANK(Data!K62),"",Data!K62)</f>
        <v/>
      </c>
      <c r="F101" s="52" t="str">
        <f>IF(ISBLANK(Data!L62),"",Data!L62)</f>
        <v/>
      </c>
      <c r="G101" s="50" t="str">
        <f>IF(ISBLANK(Data!Q61),"",Data!Q61)</f>
        <v/>
      </c>
      <c r="H101" s="51" t="str">
        <f>IF(ISBLANK(Data!R61),"",IF(Data!R61=2,0,Data!R61))</f>
        <v/>
      </c>
      <c r="I101" s="51" t="str">
        <f>IF(ISBLANK(Data!S61),"",Data!S61)</f>
        <v/>
      </c>
      <c r="J101" s="52" t="str">
        <f>IF(ISBLANK(Data!T61),"",Data!T61)</f>
        <v/>
      </c>
      <c r="K101" s="50" t="str">
        <f>IF(ISBLANK(Data!AH101),"",Data!AH101)</f>
        <v/>
      </c>
      <c r="L101" s="52" t="str">
        <f>IF(ISBLANK(Data!AI101),"",Data!AI101)</f>
        <v/>
      </c>
      <c r="M101" s="53" t="str">
        <f>IF(ISBLANK(Data!AJ101),"",Data!AJ101)</f>
        <v/>
      </c>
      <c r="N101" s="54" t="str">
        <f>IF(ISBLANK(Data!AK101),"",Data!AK101)</f>
        <v/>
      </c>
      <c r="O101" s="53" t="str">
        <f>IF(ISBLANK(Data!AL101),"",Data!AL101)</f>
        <v/>
      </c>
      <c r="P101" s="54" t="str">
        <f>IF(ISBLANK(Data!AM101),"",Data!AM101)</f>
        <v/>
      </c>
      <c r="Q101" s="60" t="str">
        <f>IF(Data!K24="","",IF(Data!K24=0,1080,Data!K24))</f>
        <v/>
      </c>
      <c r="R101" s="61" t="str">
        <f>IF(ISBLANK(Data!L24),"",Data!L24)</f>
        <v/>
      </c>
      <c r="S101" s="21">
        <f t="shared" si="9"/>
        <v>1</v>
      </c>
      <c r="T101" s="58">
        <f t="shared" si="10"/>
        <v>1</v>
      </c>
    </row>
    <row r="102" spans="2:20" ht="14.1" customHeight="1" x14ac:dyDescent="0.25">
      <c r="B102" s="59">
        <f t="shared" si="8"/>
        <v>20</v>
      </c>
      <c r="C102" s="50" t="str">
        <f>IF(ISBLANK(Data!I63),"",Data!I63)</f>
        <v/>
      </c>
      <c r="D102" s="51" t="str">
        <f>IF(ISBLANK(Data!J63),"",IF(Data!J63=2,0,Data!J63))</f>
        <v/>
      </c>
      <c r="E102" s="51" t="str">
        <f>IF(ISBLANK(Data!K63),"",Data!K63)</f>
        <v/>
      </c>
      <c r="F102" s="52" t="str">
        <f>IF(ISBLANK(Data!L63),"",Data!L63)</f>
        <v/>
      </c>
      <c r="G102" s="50" t="str">
        <f>IF(ISBLANK(Data!Q62),"",Data!Q62)</f>
        <v/>
      </c>
      <c r="H102" s="51" t="str">
        <f>IF(ISBLANK(Data!R62),"",IF(Data!R62=2,0,Data!R62))</f>
        <v/>
      </c>
      <c r="I102" s="51" t="str">
        <f>IF(ISBLANK(Data!S62),"",Data!S62)</f>
        <v/>
      </c>
      <c r="J102" s="52" t="str">
        <f>IF(ISBLANK(Data!T62),"",Data!T62)</f>
        <v/>
      </c>
      <c r="K102" s="50" t="str">
        <f>IF(ISBLANK(Data!AH102),"",Data!AH102)</f>
        <v/>
      </c>
      <c r="L102" s="52" t="str">
        <f>IF(ISBLANK(Data!AI102),"",Data!AI102)</f>
        <v/>
      </c>
      <c r="M102" s="53" t="str">
        <f>IF(ISBLANK(Data!AJ102),"",Data!AJ102)</f>
        <v/>
      </c>
      <c r="N102" s="54" t="str">
        <f>IF(ISBLANK(Data!AK102),"",Data!AK102)</f>
        <v/>
      </c>
      <c r="O102" s="53" t="str">
        <f>IF(ISBLANK(Data!AL102),"",Data!AL102)</f>
        <v/>
      </c>
      <c r="P102" s="54" t="str">
        <f>IF(ISBLANK(Data!AM102),"",Data!AM102)</f>
        <v/>
      </c>
      <c r="Q102" s="60" t="str">
        <f>IF(Data!K25="","",IF(Data!K25=0,1080,Data!K25))</f>
        <v/>
      </c>
      <c r="R102" s="61" t="str">
        <f>IF(ISBLANK(Data!L25),"",Data!L25)</f>
        <v/>
      </c>
      <c r="S102" s="21">
        <f t="shared" si="9"/>
        <v>1</v>
      </c>
      <c r="T102" s="58">
        <f t="shared" si="10"/>
        <v>1</v>
      </c>
    </row>
    <row r="103" spans="2:20" ht="14.1" customHeight="1" x14ac:dyDescent="0.25">
      <c r="B103" s="59">
        <f t="shared" si="8"/>
        <v>21</v>
      </c>
      <c r="C103" s="50" t="str">
        <f>IF(ISBLANK(Data!I64),"",Data!I64)</f>
        <v/>
      </c>
      <c r="D103" s="51" t="str">
        <f>IF(ISBLANK(Data!J64),"",IF(Data!J64=2,0,Data!J64))</f>
        <v/>
      </c>
      <c r="E103" s="51" t="str">
        <f>IF(ISBLANK(Data!K64),"",Data!K64)</f>
        <v/>
      </c>
      <c r="F103" s="52" t="str">
        <f>IF(ISBLANK(Data!L64),"",Data!L64)</f>
        <v/>
      </c>
      <c r="G103" s="50" t="str">
        <f>IF(ISBLANK(Data!Q63),"",Data!Q63)</f>
        <v/>
      </c>
      <c r="H103" s="51" t="str">
        <f>IF(ISBLANK(Data!R63),"",IF(Data!R63=2,0,Data!R63))</f>
        <v/>
      </c>
      <c r="I103" s="51" t="str">
        <f>IF(ISBLANK(Data!S63),"",Data!S63)</f>
        <v/>
      </c>
      <c r="J103" s="52" t="str">
        <f>IF(ISBLANK(Data!T63),"",Data!T63)</f>
        <v/>
      </c>
      <c r="K103" s="50" t="str">
        <f>IF(ISBLANK(Data!AH103),"",Data!AH103)</f>
        <v/>
      </c>
      <c r="L103" s="52" t="str">
        <f>IF(ISBLANK(Data!AI103),"",Data!AI103)</f>
        <v/>
      </c>
      <c r="M103" s="53" t="str">
        <f>IF(ISBLANK(Data!AJ103),"",Data!AJ103)</f>
        <v/>
      </c>
      <c r="N103" s="54" t="str">
        <f>IF(ISBLANK(Data!AK103),"",Data!AK103)</f>
        <v/>
      </c>
      <c r="O103" s="53" t="str">
        <f>IF(ISBLANK(Data!AL103),"",Data!AL103)</f>
        <v/>
      </c>
      <c r="P103" s="54" t="str">
        <f>IF(ISBLANK(Data!AM103),"",Data!AM103)</f>
        <v/>
      </c>
      <c r="Q103" s="60" t="str">
        <f>IF(Data!K26="","",IF(Data!K26=0,1080,Data!K26))</f>
        <v/>
      </c>
      <c r="R103" s="61" t="str">
        <f>IF(ISBLANK(Data!L26),"",Data!L26)</f>
        <v/>
      </c>
      <c r="S103" s="21">
        <f t="shared" si="9"/>
        <v>1</v>
      </c>
      <c r="T103" s="58">
        <f t="shared" si="10"/>
        <v>1</v>
      </c>
    </row>
    <row r="104" spans="2:20" ht="14.1" customHeight="1" x14ac:dyDescent="0.25">
      <c r="B104" s="59">
        <f t="shared" si="8"/>
        <v>22</v>
      </c>
      <c r="C104" s="50" t="str">
        <f>IF(ISBLANK(Data!I65),"",Data!I65)</f>
        <v/>
      </c>
      <c r="D104" s="51" t="str">
        <f>IF(ISBLANK(Data!J65),"",IF(Data!J65=2,0,Data!J65))</f>
        <v/>
      </c>
      <c r="E104" s="51" t="str">
        <f>IF(ISBLANK(Data!K65),"",Data!K65)</f>
        <v/>
      </c>
      <c r="F104" s="52" t="str">
        <f>IF(ISBLANK(Data!L65),"",Data!L65)</f>
        <v/>
      </c>
      <c r="G104" s="50" t="str">
        <f>IF(ISBLANK(Data!Q64),"",Data!Q64)</f>
        <v/>
      </c>
      <c r="H104" s="51" t="str">
        <f>IF(ISBLANK(Data!R64),"",IF(Data!R64=2,0,Data!R64))</f>
        <v/>
      </c>
      <c r="I104" s="51" t="str">
        <f>IF(ISBLANK(Data!S64),"",Data!S64)</f>
        <v/>
      </c>
      <c r="J104" s="52" t="str">
        <f>IF(ISBLANK(Data!T64),"",Data!T64)</f>
        <v/>
      </c>
      <c r="K104" s="50" t="str">
        <f>IF(ISBLANK(Data!AH104),"",Data!AH104)</f>
        <v/>
      </c>
      <c r="L104" s="52" t="str">
        <f>IF(ISBLANK(Data!AI104),"",Data!AI104)</f>
        <v/>
      </c>
      <c r="M104" s="53" t="str">
        <f>IF(ISBLANK(Data!AJ104),"",Data!AJ104)</f>
        <v/>
      </c>
      <c r="N104" s="54" t="str">
        <f>IF(ISBLANK(Data!AK104),"",Data!AK104)</f>
        <v/>
      </c>
      <c r="O104" s="53" t="str">
        <f>IF(ISBLANK(Data!AL104),"",Data!AL104)</f>
        <v/>
      </c>
      <c r="P104" s="54" t="str">
        <f>IF(ISBLANK(Data!AM104),"",Data!AM104)</f>
        <v/>
      </c>
      <c r="Q104" s="60" t="str">
        <f>IF(Data!K27="","",IF(Data!K27=0,1080,Data!K27))</f>
        <v/>
      </c>
      <c r="R104" s="61" t="str">
        <f>IF(ISBLANK(Data!L27),"",Data!L27)</f>
        <v/>
      </c>
      <c r="S104" s="21">
        <f t="shared" si="9"/>
        <v>1</v>
      </c>
      <c r="T104" s="58">
        <f t="shared" si="10"/>
        <v>1</v>
      </c>
    </row>
    <row r="105" spans="2:20" ht="14.1" customHeight="1" x14ac:dyDescent="0.25">
      <c r="B105" s="59">
        <f t="shared" si="8"/>
        <v>23</v>
      </c>
      <c r="C105" s="50" t="str">
        <f>IF(ISBLANK(Data!I66),"",Data!I66)</f>
        <v/>
      </c>
      <c r="D105" s="51" t="str">
        <f>IF(ISBLANK(Data!J66),"",IF(Data!J66=2,0,Data!J66))</f>
        <v/>
      </c>
      <c r="E105" s="51" t="str">
        <f>IF(ISBLANK(Data!K66),"",Data!K66)</f>
        <v/>
      </c>
      <c r="F105" s="52" t="str">
        <f>IF(ISBLANK(Data!L66),"",Data!L66)</f>
        <v/>
      </c>
      <c r="G105" s="50" t="str">
        <f>IF(ISBLANK(Data!Q65),"",Data!Q65)</f>
        <v/>
      </c>
      <c r="H105" s="51" t="str">
        <f>IF(ISBLANK(Data!R65),"",IF(Data!R65=2,0,Data!R65))</f>
        <v/>
      </c>
      <c r="I105" s="51" t="str">
        <f>IF(ISBLANK(Data!S65),"",Data!S65)</f>
        <v/>
      </c>
      <c r="J105" s="52" t="str">
        <f>IF(ISBLANK(Data!T65),"",Data!T65)</f>
        <v/>
      </c>
      <c r="K105" s="50" t="str">
        <f>IF(ISBLANK(Data!AH105),"",Data!AH105)</f>
        <v/>
      </c>
      <c r="L105" s="52" t="str">
        <f>IF(ISBLANK(Data!AI105),"",Data!AI105)</f>
        <v/>
      </c>
      <c r="M105" s="53" t="str">
        <f>IF(ISBLANK(Data!AJ105),"",Data!AJ105)</f>
        <v/>
      </c>
      <c r="N105" s="54" t="str">
        <f>IF(ISBLANK(Data!AK105),"",Data!AK105)</f>
        <v/>
      </c>
      <c r="O105" s="53" t="str">
        <f>IF(ISBLANK(Data!AL105),"",Data!AL105)</f>
        <v/>
      </c>
      <c r="P105" s="54" t="str">
        <f>IF(ISBLANK(Data!AM105),"",Data!AM105)</f>
        <v/>
      </c>
      <c r="Q105" s="60" t="str">
        <f>IF(Data!K28="","",IF(Data!K28=0,1080,Data!K28))</f>
        <v/>
      </c>
      <c r="R105" s="61" t="str">
        <f>IF(ISBLANK(Data!L28),"",Data!L28)</f>
        <v/>
      </c>
      <c r="S105" s="21">
        <f t="shared" si="9"/>
        <v>1</v>
      </c>
      <c r="T105" s="58">
        <f t="shared" si="10"/>
        <v>1</v>
      </c>
    </row>
    <row r="106" spans="2:20" ht="14.1" customHeight="1" x14ac:dyDescent="0.25">
      <c r="B106" s="59">
        <f t="shared" si="8"/>
        <v>24</v>
      </c>
      <c r="C106" s="50" t="str">
        <f>IF(ISBLANK(Data!I67),"",Data!I67)</f>
        <v/>
      </c>
      <c r="D106" s="51" t="str">
        <f>IF(ISBLANK(Data!J67),"",IF(Data!J67=2,0,Data!J67))</f>
        <v/>
      </c>
      <c r="E106" s="51" t="str">
        <f>IF(ISBLANK(Data!K67),"",Data!K67)</f>
        <v/>
      </c>
      <c r="F106" s="52" t="str">
        <f>IF(ISBLANK(Data!L67),"",Data!L67)</f>
        <v/>
      </c>
      <c r="G106" s="50" t="str">
        <f>IF(ISBLANK(Data!Q66),"",Data!Q66)</f>
        <v/>
      </c>
      <c r="H106" s="51" t="str">
        <f>IF(ISBLANK(Data!R66),"",IF(Data!R66=2,0,Data!R66))</f>
        <v/>
      </c>
      <c r="I106" s="51" t="str">
        <f>IF(ISBLANK(Data!S66),"",Data!S66)</f>
        <v/>
      </c>
      <c r="J106" s="52" t="str">
        <f>IF(ISBLANK(Data!T66),"",Data!T66)</f>
        <v/>
      </c>
      <c r="K106" s="50" t="str">
        <f>IF(ISBLANK(Data!AH106),"",Data!AH106)</f>
        <v/>
      </c>
      <c r="L106" s="52" t="str">
        <f>IF(ISBLANK(Data!AI106),"",Data!AI106)</f>
        <v/>
      </c>
      <c r="M106" s="53" t="str">
        <f>IF(ISBLANK(Data!AJ106),"",Data!AJ106)</f>
        <v/>
      </c>
      <c r="N106" s="54" t="str">
        <f>IF(ISBLANK(Data!AK106),"",Data!AK106)</f>
        <v/>
      </c>
      <c r="O106" s="53" t="str">
        <f>IF(ISBLANK(Data!AL106),"",Data!AL106)</f>
        <v/>
      </c>
      <c r="P106" s="54" t="str">
        <f>IF(ISBLANK(Data!AM106),"",Data!AM106)</f>
        <v/>
      </c>
      <c r="Q106" s="60" t="str">
        <f>IF(Data!K29="","",IF(Data!K29=0,1080,Data!K29))</f>
        <v/>
      </c>
      <c r="R106" s="61" t="str">
        <f>IF(ISBLANK(Data!L29),"",Data!L29)</f>
        <v/>
      </c>
      <c r="S106" s="21">
        <f t="shared" si="9"/>
        <v>1</v>
      </c>
      <c r="T106" s="58">
        <f t="shared" si="10"/>
        <v>1</v>
      </c>
    </row>
    <row r="107" spans="2:20" ht="14.1" customHeight="1" x14ac:dyDescent="0.25">
      <c r="B107" s="59">
        <f t="shared" si="8"/>
        <v>25</v>
      </c>
      <c r="C107" s="50" t="str">
        <f>IF(ISBLANK(Data!I68),"",Data!I68)</f>
        <v/>
      </c>
      <c r="D107" s="51" t="str">
        <f>IF(ISBLANK(Data!J68),"",IF(Data!J68=2,0,Data!J68))</f>
        <v/>
      </c>
      <c r="E107" s="51" t="str">
        <f>IF(ISBLANK(Data!K68),"",Data!K68)</f>
        <v/>
      </c>
      <c r="F107" s="52" t="str">
        <f>IF(ISBLANK(Data!L68),"",Data!L68)</f>
        <v/>
      </c>
      <c r="G107" s="50" t="str">
        <f>IF(ISBLANK(Data!Q67),"",Data!Q67)</f>
        <v/>
      </c>
      <c r="H107" s="51" t="str">
        <f>IF(ISBLANK(Data!R67),"",IF(Data!R67=2,0,Data!R67))</f>
        <v/>
      </c>
      <c r="I107" s="51" t="str">
        <f>IF(ISBLANK(Data!S67),"",Data!S67)</f>
        <v/>
      </c>
      <c r="J107" s="52" t="str">
        <f>IF(ISBLANK(Data!T67),"",Data!T67)</f>
        <v/>
      </c>
      <c r="K107" s="50" t="str">
        <f>IF(ISBLANK(Data!AH107),"",Data!AH107)</f>
        <v/>
      </c>
      <c r="L107" s="52" t="str">
        <f>IF(ISBLANK(Data!AI107),"",Data!AI107)</f>
        <v/>
      </c>
      <c r="M107" s="53" t="str">
        <f>IF(ISBLANK(Data!AJ107),"",Data!AJ107)</f>
        <v/>
      </c>
      <c r="N107" s="54" t="str">
        <f>IF(ISBLANK(Data!AK107),"",Data!AK107)</f>
        <v/>
      </c>
      <c r="O107" s="53" t="str">
        <f>IF(ISBLANK(Data!AL107),"",Data!AL107)</f>
        <v/>
      </c>
      <c r="P107" s="54" t="str">
        <f>IF(ISBLANK(Data!AM107),"",Data!AM107)</f>
        <v/>
      </c>
      <c r="Q107" s="60" t="str">
        <f>IF(Data!K30="","",IF(Data!K30=0,1080,Data!K30))</f>
        <v/>
      </c>
      <c r="R107" s="61" t="str">
        <f>IF(ISBLANK(Data!L30),"",Data!L30)</f>
        <v/>
      </c>
      <c r="S107" s="21">
        <f t="shared" si="9"/>
        <v>1</v>
      </c>
      <c r="T107" s="58">
        <f t="shared" si="10"/>
        <v>1</v>
      </c>
    </row>
    <row r="108" spans="2:20" ht="14.1" customHeight="1" x14ac:dyDescent="0.25">
      <c r="B108" s="59">
        <f t="shared" si="8"/>
        <v>26</v>
      </c>
      <c r="C108" s="50" t="str">
        <f>IF(ISBLANK(Data!I69),"",Data!I69)</f>
        <v/>
      </c>
      <c r="D108" s="51" t="str">
        <f>IF(ISBLANK(Data!J69),"",IF(Data!J69=2,0,Data!J69))</f>
        <v/>
      </c>
      <c r="E108" s="51" t="str">
        <f>IF(ISBLANK(Data!K69),"",Data!K69)</f>
        <v/>
      </c>
      <c r="F108" s="52" t="str">
        <f>IF(ISBLANK(Data!L69),"",Data!L69)</f>
        <v/>
      </c>
      <c r="G108" s="50" t="str">
        <f>IF(ISBLANK(Data!Q68),"",Data!Q68)</f>
        <v/>
      </c>
      <c r="H108" s="51" t="str">
        <f>IF(ISBLANK(Data!R68),"",IF(Data!R68=2,0,Data!R68))</f>
        <v/>
      </c>
      <c r="I108" s="51" t="str">
        <f>IF(ISBLANK(Data!S68),"",Data!S68)</f>
        <v/>
      </c>
      <c r="J108" s="52" t="str">
        <f>IF(ISBLANK(Data!T68),"",Data!T68)</f>
        <v/>
      </c>
      <c r="K108" s="50" t="str">
        <f>IF(ISBLANK(Data!AH108),"",Data!AH108)</f>
        <v/>
      </c>
      <c r="L108" s="52" t="str">
        <f>IF(ISBLANK(Data!AI108),"",Data!AI108)</f>
        <v/>
      </c>
      <c r="M108" s="53" t="str">
        <f>IF(ISBLANK(Data!AJ108),"",Data!AJ108)</f>
        <v/>
      </c>
      <c r="N108" s="54" t="str">
        <f>IF(ISBLANK(Data!AK108),"",Data!AK108)</f>
        <v/>
      </c>
      <c r="O108" s="53" t="str">
        <f>IF(ISBLANK(Data!AL108),"",Data!AL108)</f>
        <v/>
      </c>
      <c r="P108" s="54" t="str">
        <f>IF(ISBLANK(Data!AM108),"",Data!AM108)</f>
        <v/>
      </c>
      <c r="Q108" s="60" t="str">
        <f>IF(Data!K31="","",IF(Data!K31=0,1080,Data!K31))</f>
        <v/>
      </c>
      <c r="R108" s="61" t="str">
        <f>IF(ISBLANK(Data!L31),"",Data!L31)</f>
        <v/>
      </c>
      <c r="S108" s="21">
        <f t="shared" si="9"/>
        <v>1</v>
      </c>
      <c r="T108" s="58">
        <f t="shared" si="10"/>
        <v>1</v>
      </c>
    </row>
    <row r="109" spans="2:20" ht="14.1" customHeight="1" x14ac:dyDescent="0.25">
      <c r="B109" s="59">
        <f t="shared" si="8"/>
        <v>27</v>
      </c>
      <c r="C109" s="50" t="str">
        <f>IF(ISBLANK(Data!I70),"",Data!I70)</f>
        <v/>
      </c>
      <c r="D109" s="51" t="str">
        <f>IF(ISBLANK(Data!J70),"",IF(Data!J70=2,0,Data!J70))</f>
        <v/>
      </c>
      <c r="E109" s="51" t="str">
        <f>IF(ISBLANK(Data!K70),"",Data!K70)</f>
        <v/>
      </c>
      <c r="F109" s="52" t="str">
        <f>IF(ISBLANK(Data!L70),"",Data!L70)</f>
        <v/>
      </c>
      <c r="G109" s="50" t="str">
        <f>IF(ISBLANK(Data!Q69),"",Data!Q69)</f>
        <v/>
      </c>
      <c r="H109" s="51" t="str">
        <f>IF(ISBLANK(Data!R69),"",IF(Data!R69=2,0,Data!R69))</f>
        <v/>
      </c>
      <c r="I109" s="51" t="str">
        <f>IF(ISBLANK(Data!S69),"",Data!S69)</f>
        <v/>
      </c>
      <c r="J109" s="52" t="str">
        <f>IF(ISBLANK(Data!T69),"",Data!T69)</f>
        <v/>
      </c>
      <c r="K109" s="50" t="str">
        <f>IF(ISBLANK(Data!AH109),"",Data!AH109)</f>
        <v/>
      </c>
      <c r="L109" s="52" t="str">
        <f>IF(ISBLANK(Data!AI109),"",Data!AI109)</f>
        <v/>
      </c>
      <c r="M109" s="53" t="str">
        <f>IF(ISBLANK(Data!AJ109),"",Data!AJ109)</f>
        <v/>
      </c>
      <c r="N109" s="54" t="str">
        <f>IF(ISBLANK(Data!AK109),"",Data!AK109)</f>
        <v/>
      </c>
      <c r="O109" s="53" t="str">
        <f>IF(ISBLANK(Data!AL109),"",Data!AL109)</f>
        <v/>
      </c>
      <c r="P109" s="54" t="str">
        <f>IF(ISBLANK(Data!AM109),"",Data!AM109)</f>
        <v/>
      </c>
      <c r="Q109" s="60" t="str">
        <f>IF(Data!K32="","",IF(Data!K32=0,1080,Data!K32))</f>
        <v/>
      </c>
      <c r="R109" s="61" t="str">
        <f>IF(ISBLANK(Data!L32),"",Data!L32)</f>
        <v/>
      </c>
      <c r="S109" s="21">
        <f t="shared" si="9"/>
        <v>1</v>
      </c>
      <c r="T109" s="58">
        <f t="shared" si="10"/>
        <v>1</v>
      </c>
    </row>
    <row r="110" spans="2:20" ht="14.1" customHeight="1" x14ac:dyDescent="0.25">
      <c r="B110" s="59">
        <f t="shared" si="8"/>
        <v>28</v>
      </c>
      <c r="C110" s="50" t="str">
        <f>IF(ISBLANK(Data!I71),"",Data!I71)</f>
        <v/>
      </c>
      <c r="D110" s="51" t="str">
        <f>IF(ISBLANK(Data!J71),"",IF(Data!J71=2,0,Data!J71))</f>
        <v/>
      </c>
      <c r="E110" s="51" t="str">
        <f>IF(ISBLANK(Data!K71),"",Data!K71)</f>
        <v/>
      </c>
      <c r="F110" s="52" t="str">
        <f>IF(ISBLANK(Data!L71),"",Data!L71)</f>
        <v/>
      </c>
      <c r="G110" s="50" t="str">
        <f>IF(ISBLANK(Data!Q70),"",Data!Q70)</f>
        <v/>
      </c>
      <c r="H110" s="51" t="str">
        <f>IF(ISBLANK(Data!R70),"",IF(Data!R70=2,0,Data!R70))</f>
        <v/>
      </c>
      <c r="I110" s="51" t="str">
        <f>IF(ISBLANK(Data!S70),"",Data!S70)</f>
        <v/>
      </c>
      <c r="J110" s="52" t="str">
        <f>IF(ISBLANK(Data!T70),"",Data!T70)</f>
        <v/>
      </c>
      <c r="K110" s="50" t="str">
        <f>IF(ISBLANK(Data!AH110),"",Data!AH110)</f>
        <v/>
      </c>
      <c r="L110" s="52" t="str">
        <f>IF(ISBLANK(Data!AI110),"",Data!AI110)</f>
        <v/>
      </c>
      <c r="M110" s="53" t="str">
        <f>IF(ISBLANK(Data!AJ110),"",Data!AJ110)</f>
        <v/>
      </c>
      <c r="N110" s="54" t="str">
        <f>IF(ISBLANK(Data!AK110),"",Data!AK110)</f>
        <v/>
      </c>
      <c r="O110" s="53" t="str">
        <f>IF(ISBLANK(Data!AL110),"",Data!AL110)</f>
        <v/>
      </c>
      <c r="P110" s="54" t="str">
        <f>IF(ISBLANK(Data!AM110),"",Data!AM110)</f>
        <v/>
      </c>
      <c r="Q110" s="60" t="str">
        <f>IF(Data!K33="","",IF(Data!K33=0,1080,Data!K33))</f>
        <v/>
      </c>
      <c r="R110" s="61" t="str">
        <f>IF(ISBLANK(Data!L33),"",Data!L33)</f>
        <v/>
      </c>
      <c r="S110" s="21">
        <f t="shared" si="9"/>
        <v>1</v>
      </c>
      <c r="T110" s="58">
        <f t="shared" si="10"/>
        <v>1</v>
      </c>
    </row>
    <row r="111" spans="2:20" ht="14.1" customHeight="1" x14ac:dyDescent="0.25">
      <c r="B111" s="59">
        <f t="shared" si="8"/>
        <v>29</v>
      </c>
      <c r="C111" s="50" t="str">
        <f>IF(ISBLANK(Data!I72),"",Data!I72)</f>
        <v/>
      </c>
      <c r="D111" s="51" t="str">
        <f>IF(ISBLANK(Data!J72),"",IF(Data!J72=2,0,Data!J72))</f>
        <v/>
      </c>
      <c r="E111" s="51" t="str">
        <f>IF(ISBLANK(Data!K72),"",Data!K72)</f>
        <v/>
      </c>
      <c r="F111" s="52" t="str">
        <f>IF(ISBLANK(Data!L72),"",Data!L72)</f>
        <v/>
      </c>
      <c r="G111" s="50" t="str">
        <f>IF(ISBLANK(Data!Q71),"",Data!Q71)</f>
        <v/>
      </c>
      <c r="H111" s="51" t="str">
        <f>IF(ISBLANK(Data!R71),"",IF(Data!R71=2,0,Data!R71))</f>
        <v/>
      </c>
      <c r="I111" s="51" t="str">
        <f>IF(ISBLANK(Data!S71),"",Data!S71)</f>
        <v/>
      </c>
      <c r="J111" s="52" t="str">
        <f>IF(ISBLANK(Data!T71),"",Data!T71)</f>
        <v/>
      </c>
      <c r="K111" s="50" t="str">
        <f>IF(ISBLANK(Data!AH111),"",Data!AH111)</f>
        <v/>
      </c>
      <c r="L111" s="52" t="str">
        <f>IF(ISBLANK(Data!AI111),"",Data!AI111)</f>
        <v/>
      </c>
      <c r="M111" s="53" t="str">
        <f>IF(ISBLANK(Data!AJ111),"",Data!AJ111)</f>
        <v/>
      </c>
      <c r="N111" s="54" t="str">
        <f>IF(ISBLANK(Data!AK111),"",Data!AK111)</f>
        <v/>
      </c>
      <c r="O111" s="53" t="str">
        <f>IF(ISBLANK(Data!AL111),"",Data!AL111)</f>
        <v/>
      </c>
      <c r="P111" s="54" t="str">
        <f>IF(ISBLANK(Data!AM111),"",Data!AM111)</f>
        <v/>
      </c>
      <c r="Q111" s="60" t="str">
        <f>IF(Data!K34="","",IF(Data!K34=0,1080,Data!K34))</f>
        <v/>
      </c>
      <c r="R111" s="61" t="str">
        <f>IF(ISBLANK(Data!L34),"",Data!L34)</f>
        <v/>
      </c>
      <c r="S111" s="21">
        <f t="shared" si="9"/>
        <v>1</v>
      </c>
      <c r="T111" s="58">
        <f t="shared" si="10"/>
        <v>1</v>
      </c>
    </row>
    <row r="112" spans="2:20" ht="14.1" customHeight="1" x14ac:dyDescent="0.25">
      <c r="B112" s="59">
        <f t="shared" si="8"/>
        <v>30</v>
      </c>
      <c r="C112" s="50" t="str">
        <f>IF(ISBLANK(Data!I73),"",Data!I73)</f>
        <v/>
      </c>
      <c r="D112" s="51" t="str">
        <f>IF(ISBLANK(Data!J73),"",IF(Data!J73=2,0,Data!J73))</f>
        <v/>
      </c>
      <c r="E112" s="51" t="str">
        <f>IF(ISBLANK(Data!K73),"",Data!K73)</f>
        <v/>
      </c>
      <c r="F112" s="52" t="str">
        <f>IF(ISBLANK(Data!L73),"",Data!L73)</f>
        <v/>
      </c>
      <c r="G112" s="50" t="str">
        <f>IF(ISBLANK(Data!Q72),"",Data!Q72)</f>
        <v/>
      </c>
      <c r="H112" s="51" t="str">
        <f>IF(ISBLANK(Data!R72),"",IF(Data!R72=2,0,Data!R72))</f>
        <v/>
      </c>
      <c r="I112" s="51" t="str">
        <f>IF(ISBLANK(Data!S72),"",Data!S72)</f>
        <v/>
      </c>
      <c r="J112" s="52" t="str">
        <f>IF(ISBLANK(Data!T72),"",Data!T72)</f>
        <v/>
      </c>
      <c r="K112" s="50" t="str">
        <f>IF(ISBLANK(Data!AH112),"",Data!AH112)</f>
        <v/>
      </c>
      <c r="L112" s="52" t="str">
        <f>IF(ISBLANK(Data!AI112),"",Data!AI112)</f>
        <v/>
      </c>
      <c r="M112" s="53" t="str">
        <f>IF(ISBLANK(Data!AJ112),"",Data!AJ112)</f>
        <v/>
      </c>
      <c r="N112" s="54" t="str">
        <f>IF(ISBLANK(Data!AK112),"",Data!AK112)</f>
        <v/>
      </c>
      <c r="O112" s="53" t="str">
        <f>IF(ISBLANK(Data!AL112),"",Data!AL112)</f>
        <v/>
      </c>
      <c r="P112" s="54" t="str">
        <f>IF(ISBLANK(Data!AM112),"",Data!AM112)</f>
        <v/>
      </c>
      <c r="Q112" s="60" t="str">
        <f>IF(Data!K35="","",IF(Data!K35=0,1080,Data!K35))</f>
        <v/>
      </c>
      <c r="R112" s="61" t="str">
        <f>IF(ISBLANK(Data!L35),"",Data!L35)</f>
        <v/>
      </c>
      <c r="S112" s="21">
        <f t="shared" si="9"/>
        <v>1</v>
      </c>
      <c r="T112" s="58">
        <f t="shared" si="10"/>
        <v>1</v>
      </c>
    </row>
    <row r="113" spans="2:22" ht="14.1" customHeight="1" thickBot="1" x14ac:dyDescent="0.3">
      <c r="B113" s="62">
        <f t="shared" si="8"/>
        <v>31</v>
      </c>
      <c r="C113" s="63" t="str">
        <f>IF(ISBLANK(Data!I74),"",Data!I74)</f>
        <v/>
      </c>
      <c r="D113" s="64" t="str">
        <f>IF(ISBLANK(Data!J74),"",IF(Data!J74=2,0,Data!J74))</f>
        <v/>
      </c>
      <c r="E113" s="64" t="str">
        <f>IF(ISBLANK(Data!K74),"",Data!K74)</f>
        <v/>
      </c>
      <c r="F113" s="65" t="str">
        <f>IF(ISBLANK(Data!L74),"",Data!L74)</f>
        <v/>
      </c>
      <c r="G113" s="63" t="str">
        <f>IF(ISBLANK(Data!Q73),"",Data!Q73)</f>
        <v/>
      </c>
      <c r="H113" s="64" t="str">
        <f>IF(ISBLANK(Data!R73),"",IF(Data!R73=2,0,Data!R73))</f>
        <v/>
      </c>
      <c r="I113" s="64" t="str">
        <f>IF(ISBLANK(Data!S73),"",Data!S73)</f>
        <v/>
      </c>
      <c r="J113" s="65" t="str">
        <f>IF(ISBLANK(Data!T73),"",Data!T73)</f>
        <v/>
      </c>
      <c r="K113" s="63" t="str">
        <f>IF(ISBLANK(Data!AH113),"",Data!AH113)</f>
        <v/>
      </c>
      <c r="L113" s="65" t="str">
        <f>IF(ISBLANK(Data!AI113),"",Data!AI113)</f>
        <v/>
      </c>
      <c r="M113" s="66" t="str">
        <f>IF(ISBLANK(Data!AJ113),"",Data!AJ113)</f>
        <v/>
      </c>
      <c r="N113" s="67" t="str">
        <f>IF(ISBLANK(Data!AK113),"",Data!AK113)</f>
        <v/>
      </c>
      <c r="O113" s="66" t="str">
        <f>IF(ISBLANK(Data!AL113),"",Data!AL113)</f>
        <v/>
      </c>
      <c r="P113" s="67" t="str">
        <f>IF(ISBLANK(Data!AM113),"",Data!AM113)</f>
        <v/>
      </c>
      <c r="Q113" s="68" t="str">
        <f>IF(Data!K36="","",IF(Data!K36=0,1080,Data!K36))</f>
        <v/>
      </c>
      <c r="R113" s="69" t="str">
        <f>IF(ISBLANK(Data!L36),"",Data!L36)</f>
        <v/>
      </c>
      <c r="S113" s="26">
        <f t="shared" si="9"/>
        <v>1</v>
      </c>
      <c r="T113" s="71">
        <f t="shared" si="10"/>
        <v>1</v>
      </c>
    </row>
    <row r="114" spans="2:22" ht="14.1" customHeight="1" x14ac:dyDescent="0.25"/>
    <row r="115" spans="2:22" ht="14.1" customHeight="1" x14ac:dyDescent="0.25"/>
    <row r="116" spans="2:22" ht="14.1" customHeight="1" thickBot="1" x14ac:dyDescent="0.3"/>
    <row r="117" spans="2:22" ht="14.1" customHeight="1" thickBot="1" x14ac:dyDescent="0.3">
      <c r="B117" s="309" t="s">
        <v>5</v>
      </c>
      <c r="C117" s="312" t="s">
        <v>34</v>
      </c>
      <c r="D117" s="313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4"/>
    </row>
    <row r="118" spans="2:22" ht="14.1" customHeight="1" thickBot="1" x14ac:dyDescent="0.3">
      <c r="B118" s="310"/>
      <c r="C118" s="315" t="s">
        <v>102</v>
      </c>
      <c r="D118" s="316"/>
      <c r="E118" s="316"/>
      <c r="F118" s="317"/>
      <c r="G118" s="318" t="s">
        <v>118</v>
      </c>
      <c r="H118" s="319"/>
      <c r="I118" s="319"/>
      <c r="J118" s="320"/>
      <c r="K118" s="312" t="s">
        <v>42</v>
      </c>
      <c r="L118" s="313"/>
      <c r="M118" s="313"/>
      <c r="N118" s="313"/>
      <c r="O118" s="313"/>
      <c r="P118" s="313"/>
      <c r="Q118" s="313"/>
      <c r="R118" s="313"/>
      <c r="S118" s="313"/>
      <c r="T118" s="314"/>
      <c r="U118" s="332"/>
      <c r="V118" s="322"/>
    </row>
    <row r="119" spans="2:22" ht="14.1" customHeight="1" x14ac:dyDescent="0.25">
      <c r="B119" s="310"/>
      <c r="C119" s="323" t="s">
        <v>98</v>
      </c>
      <c r="D119" s="324" t="s">
        <v>24</v>
      </c>
      <c r="E119" s="324" t="s">
        <v>99</v>
      </c>
      <c r="F119" s="325" t="s">
        <v>39</v>
      </c>
      <c r="G119" s="323" t="s">
        <v>98</v>
      </c>
      <c r="H119" s="324" t="s">
        <v>24</v>
      </c>
      <c r="I119" s="324" t="s">
        <v>99</v>
      </c>
      <c r="J119" s="325" t="s">
        <v>39</v>
      </c>
      <c r="K119" s="330" t="s">
        <v>15</v>
      </c>
      <c r="L119" s="331"/>
      <c r="M119" s="330" t="s">
        <v>16</v>
      </c>
      <c r="N119" s="331"/>
      <c r="O119" s="330" t="s">
        <v>17</v>
      </c>
      <c r="P119" s="331"/>
      <c r="Q119" s="330" t="s">
        <v>18</v>
      </c>
      <c r="R119" s="331"/>
      <c r="S119" s="318" t="s">
        <v>41</v>
      </c>
      <c r="T119" s="320"/>
      <c r="U119" s="326" t="s">
        <v>33</v>
      </c>
      <c r="V119" s="328" t="s">
        <v>27</v>
      </c>
    </row>
    <row r="120" spans="2:22" ht="14.1" customHeight="1" thickBot="1" x14ac:dyDescent="0.3">
      <c r="B120" s="311"/>
      <c r="C120" s="323"/>
      <c r="D120" s="324"/>
      <c r="E120" s="324"/>
      <c r="F120" s="325"/>
      <c r="G120" s="323"/>
      <c r="H120" s="324"/>
      <c r="I120" s="324"/>
      <c r="J120" s="325"/>
      <c r="K120" s="45" t="s">
        <v>23</v>
      </c>
      <c r="L120" s="46" t="s">
        <v>24</v>
      </c>
      <c r="M120" s="45" t="s">
        <v>23</v>
      </c>
      <c r="N120" s="46" t="s">
        <v>24</v>
      </c>
      <c r="O120" s="45" t="s">
        <v>23</v>
      </c>
      <c r="P120" s="46" t="s">
        <v>24</v>
      </c>
      <c r="Q120" s="45" t="s">
        <v>23</v>
      </c>
      <c r="R120" s="46" t="s">
        <v>24</v>
      </c>
      <c r="S120" s="47" t="s">
        <v>23</v>
      </c>
      <c r="T120" s="48" t="s">
        <v>39</v>
      </c>
      <c r="U120" s="327"/>
      <c r="V120" s="329"/>
    </row>
    <row r="121" spans="2:22" ht="14.1" customHeight="1" x14ac:dyDescent="0.25">
      <c r="B121" s="49">
        <v>1</v>
      </c>
      <c r="C121" s="50" t="str">
        <f>IF(ISBLANK(Data!I44),"",Data!I44)</f>
        <v/>
      </c>
      <c r="D121" s="51" t="str">
        <f>IF(ISBLANK(Data!J44),"",IF(Data!J44=2,0,Data!J44))</f>
        <v/>
      </c>
      <c r="E121" s="51" t="str">
        <f>IF(ISBLANK(Data!K44),"",Data!K44)</f>
        <v/>
      </c>
      <c r="F121" s="52" t="str">
        <f>IF(ISBLANK(Data!L44),"",Data!L44)</f>
        <v/>
      </c>
      <c r="G121" s="50" t="str">
        <f>IF(ISBLANK(Data!Q43),"",Data!Q43)</f>
        <v/>
      </c>
      <c r="H121" s="51" t="str">
        <f>IF(ISBLANK(Data!R43),"",IF(Data!R43=2,0,Data!R43))</f>
        <v/>
      </c>
      <c r="I121" s="51" t="str">
        <f>IF(ISBLANK(Data!S43),"",Data!S43)</f>
        <v/>
      </c>
      <c r="J121" s="52" t="str">
        <f>IF(ISBLANK(Data!T43),"",Data!T43)</f>
        <v/>
      </c>
      <c r="K121" s="50" t="str">
        <f>IF(ISBLANK(Data!AN83),"",Data!AN83)</f>
        <v/>
      </c>
      <c r="L121" s="52" t="str">
        <f>IF(ISBLANK(Data!AO83),"",Data!AO83)</f>
        <v/>
      </c>
      <c r="M121" s="53" t="str">
        <f>IF(ISBLANK(Data!AP83),"",Data!AP83)</f>
        <v/>
      </c>
      <c r="N121" s="54" t="str">
        <f>IF(ISBLANK(Data!AQ83),"",Data!AQ83)</f>
        <v/>
      </c>
      <c r="O121" s="53" t="str">
        <f>IF(ISBLANK(Data!AR83),"",Data!AR83)</f>
        <v/>
      </c>
      <c r="P121" s="54" t="str">
        <f>IF(ISBLANK(Data!AS83),"",Data!AS83)</f>
        <v/>
      </c>
      <c r="Q121" s="53" t="str">
        <f>IF(ISBLANK(Data!AT83),"",Data!AT83)</f>
        <v/>
      </c>
      <c r="R121" s="54" t="str">
        <f>IF(ISBLANK(Data!AU83),"",Data!AU83)</f>
        <v/>
      </c>
      <c r="S121" s="55" t="str">
        <f>IF(Data!M6="","",IF(Data!M6=0,1080,Data!M6))</f>
        <v/>
      </c>
      <c r="T121" s="56" t="str">
        <f>IF(ISBLANK(Data!N6),"",Data!N6)</f>
        <v/>
      </c>
      <c r="U121" s="21">
        <f><![CDATA[IF(OR(C121="",E121="",S121="",C121=1080,E121=1080,S121=1080),0.5,IF(OR(K121=C121,K121=E121,M121=C121,M121=E121,,O121=C121,O121=E121,Q121=C121,Q121=E121,MIN(ABS(S121-C121),ABS(360-S121+E121))<=45),0.5,IF(OR(IF(ISNUMBER(K121),OR(MIN(ABS(K121-C121),ABS(360-K121+C121))<=45,MIN(ABS(K121-E121),ABS(360-K121+E121))<=45),FALSE),IF(ISNUMBER(M121),OR(MIN(ABS(M121-C121),ABS(360-M121+C121))<=45,MIN(ABS(M121-E121),ABS(360-M121+E121))<=45),FALSE),IF(ISNUMBER(O121),OR(MIN(ABS(O121-C121),ABS(360-O121+C121))<=45,MIN(ABS(O121-E121),ABS(360-O121+E121))<=45),FALSE),IF(ISNUMBER(Q121),OR(MIN(ABS(Q121-C121),ABS(360-Q121+C121))<=45,MIN(ABS(Q121-E121),ABS(360-Q121+E121))<=45),FALSE),MIN(ABS(S121-C121),ABS(360-S121+C121))<=90,MIN(ABS(S121-E121),ABS(360-S121+E121))<=90),0.25,0)))+IF(OR(T121="",D121="",F121=""),0.5,IF(AND(T121>=D121,T121<=F121),0.5,IF(AND(T121>=(D121-5),T121<=(F121+5)),0.25,0)))]]></f>
        <v>1</v>
      </c>
      <c r="V121" s="58">
        <f><![CDATA[IF(OR(G121="",I121="",S121="",G121=1080,I121=1080,S121=1080),0.5,IF(OR(K121=G121,K121=I121,M121=G121,M121=I121,,O121=G121,O121=I121,Q121=G121,Q121=I121,MIN(ABS(S121-G121),ABS(360-S121+I121))<=45),0.5,IF(OR(IF(ISNUMBER(K121),OR(MIN(ABS(K121-G121),ABS(360-K121+G121))<=45,MIN(ABS(K121-I121),ABS(360-K121+I121))<=45),FALSE),IF(ISNUMBER(M121),OR(MIN(ABS(M121-G121),ABS(360-M121+G121))<=45,MIN(ABS(M121-I121),ABS(360-M121+I121))<=45),FALSE),IF(ISNUMBER(O121),OR(MIN(ABS(O121-G121),ABS(360-O121+G121))<=45,MIN(ABS(O121-I121),ABS(360-O121+I121))<=45),FALSE),IF(ISNUMBER(Q121),OR(MIN(ABS(Q121-G121),ABS(360-Q121+G121))<=45,MIN(ABS(Q121-I121),ABS(360-Q121+I121))<=45),FALSE),MIN(ABS(S121-G121),ABS(360-S121+G121))<=90,MIN(ABS(S121-I121),ABS(360-S121+I121))<=90),0.25,0)))+IF(OR(T121="",H121="",J121=""),0.5,IF(AND(T121>=H121,T121<=J121),0.5,IF(AND(T121>=(H121-5),T121<=(J121+5)),0.25,0)))]]></f>
        <v>1</v>
      </c>
    </row>
    <row r="122" spans="2:22" ht="14.1" customHeight="1" x14ac:dyDescent="0.25">
      <c r="B122" s="59">
        <f t="shared" ref="B122:B151" si="11">B121+1</f>
        <v>2</v>
      </c>
      <c r="C122" s="50" t="str">
        <f>IF(ISBLANK(Data!I45),"",Data!I45)</f>
        <v/>
      </c>
      <c r="D122" s="51" t="str">
        <f>IF(ISBLANK(Data!J45),"",IF(Data!J45=2,0,Data!J45))</f>
        <v/>
      </c>
      <c r="E122" s="51" t="str">
        <f>IF(ISBLANK(Data!K45),"",Data!K45)</f>
        <v/>
      </c>
      <c r="F122" s="52" t="str">
        <f>IF(ISBLANK(Data!L45),"",Data!L45)</f>
        <v/>
      </c>
      <c r="G122" s="50" t="str">
        <f>IF(ISBLANK(Data!Q44),"",Data!Q44)</f>
        <v/>
      </c>
      <c r="H122" s="51" t="str">
        <f>IF(ISBLANK(Data!R44),"",IF(Data!R44=2,0,Data!R44))</f>
        <v/>
      </c>
      <c r="I122" s="51" t="str">
        <f>IF(ISBLANK(Data!S44),"",Data!S44)</f>
        <v/>
      </c>
      <c r="J122" s="52" t="str">
        <f>IF(ISBLANK(Data!T44),"",Data!T44)</f>
        <v/>
      </c>
      <c r="K122" s="50" t="str">
        <f>IF(ISBLANK(Data!AN84),"",Data!AN84)</f>
        <v/>
      </c>
      <c r="L122" s="52" t="str">
        <f>IF(ISBLANK(Data!AO84),"",Data!AO84)</f>
        <v/>
      </c>
      <c r="M122" s="53" t="str">
        <f>IF(ISBLANK(Data!AP84),"",Data!AP84)</f>
        <v/>
      </c>
      <c r="N122" s="54" t="str">
        <f>IF(ISBLANK(Data!AQ84),"",Data!AQ84)</f>
        <v/>
      </c>
      <c r="O122" s="53" t="str">
        <f>IF(ISBLANK(Data!AR84),"",Data!AR84)</f>
        <v/>
      </c>
      <c r="P122" s="54" t="str">
        <f>IF(ISBLANK(Data!AS84),"",Data!AS84)</f>
        <v/>
      </c>
      <c r="Q122" s="53" t="str">
        <f>IF(ISBLANK(Data!AT84),"",Data!AT84)</f>
        <v/>
      </c>
      <c r="R122" s="54" t="str">
        <f>IF(ISBLANK(Data!AU84),"",Data!AU84)</f>
        <v/>
      </c>
      <c r="S122" s="60" t="str">
        <f>IF(Data!M7="","",IF(Data!M7=0,1080,Data!M7))</f>
        <v/>
      </c>
      <c r="T122" s="61" t="str">
        <f>IF(ISBLANK(Data!N7),"",Data!N7)</f>
        <v/>
      </c>
      <c r="U122" s="21">
        <f t="shared" ref="U122:U151" si="12"><![CDATA[IF(OR(C122="",E122="",S122="",C122=1080,E122=1080,S122=1080),0.5,IF(OR(K122=C122,K122=E122,M122=C122,M122=E122,,O122=C122,O122=E122,Q122=C122,Q122=E122,MIN(ABS(S122-C122),ABS(360-S122+E122))<=45),0.5,IF(OR(IF(ISNUMBER(K122),OR(MIN(ABS(K122-C122),ABS(360-K122+C122))<=45,MIN(ABS(K122-E122),ABS(360-K122+E122))<=45),FALSE),IF(ISNUMBER(M122),OR(MIN(ABS(M122-C122),ABS(360-M122+C122))<=45,MIN(ABS(M122-E122),ABS(360-M122+E122))<=45),FALSE),IF(ISNUMBER(O122),OR(MIN(ABS(O122-C122),ABS(360-O122+C122))<=45,MIN(ABS(O122-E122),ABS(360-O122+E122))<=45),FALSE),IF(ISNUMBER(Q122),OR(MIN(ABS(Q122-C122),ABS(360-Q122+C122))<=45,MIN(ABS(Q122-E122),ABS(360-Q122+E122))<=45),FALSE),MIN(ABS(S122-C122),ABS(360-S122+C122))<=90,MIN(ABS(S122-E122),ABS(360-S122+E122))<=90),0.25,0)))+IF(OR(T122="",D122="",F122=""),0.5,IF(AND(T122>=D122,T122<=F122),0.5,IF(AND(T122>=(D122-5),T122<=(F122+5)),0.25,0)))]]></f>
        <v>1</v>
      </c>
      <c r="V122" s="58">
        <f t="shared" ref="V122:V151" si="13"><![CDATA[IF(OR(G122="",I122="",S122="",G122=1080,I122=1080,S122=1080),0.5,IF(OR(K122=G122,K122=I122,M122=G122,M122=I122,,O122=G122,O122=I122,Q122=G122,Q122=I122,MIN(ABS(S122-G122),ABS(360-S122+I122))<=45),0.5,IF(OR(IF(ISNUMBER(K122),OR(MIN(ABS(K122-G122),ABS(360-K122+G122))<=45,MIN(ABS(K122-I122),ABS(360-K122+I122))<=45),FALSE),IF(ISNUMBER(M122),OR(MIN(ABS(M122-G122),ABS(360-M122+G122))<=45,MIN(ABS(M122-I122),ABS(360-M122+I122))<=45),FALSE),IF(ISNUMBER(O122),OR(MIN(ABS(O122-G122),ABS(360-O122+G122))<=45,MIN(ABS(O122-I122),ABS(360-O122+I122))<=45),FALSE),IF(ISNUMBER(Q122),OR(MIN(ABS(Q122-G122),ABS(360-Q122+G122))<=45,MIN(ABS(Q122-I122),ABS(360-Q122+I122))<=45),FALSE),MIN(ABS(S122-G122),ABS(360-S122+G122))<=90,MIN(ABS(S122-I122),ABS(360-S122+I122))<=90),0.25,0)))+IF(OR(T122="",H122="",J122=""),0.5,IF(AND(T122>=H122,T122<=J122),0.5,IF(AND(T122>=(H122-5),T122<=(J122+5)),0.25,0)))]]></f>
        <v>1</v>
      </c>
    </row>
    <row r="123" spans="2:22" ht="14.1" customHeight="1" x14ac:dyDescent="0.25">
      <c r="B123" s="59">
        <f t="shared" si="11"/>
        <v>3</v>
      </c>
      <c r="C123" s="50" t="str">
        <f>IF(ISBLANK(Data!I46),"",Data!I46)</f>
        <v/>
      </c>
      <c r="D123" s="51" t="str">
        <f>IF(ISBLANK(Data!J46),"",IF(Data!J46=2,0,Data!J46))</f>
        <v/>
      </c>
      <c r="E123" s="51" t="str">
        <f>IF(ISBLANK(Data!K46),"",Data!K46)</f>
        <v/>
      </c>
      <c r="F123" s="52" t="str">
        <f>IF(ISBLANK(Data!L46),"",Data!L46)</f>
        <v/>
      </c>
      <c r="G123" s="50" t="str">
        <f>IF(ISBLANK(Data!Q45),"",Data!Q45)</f>
        <v/>
      </c>
      <c r="H123" s="51" t="str">
        <f>IF(ISBLANK(Data!R45),"",IF(Data!R45=2,0,Data!R45))</f>
        <v/>
      </c>
      <c r="I123" s="51" t="str">
        <f>IF(ISBLANK(Data!S45),"",Data!S45)</f>
        <v/>
      </c>
      <c r="J123" s="52" t="str">
        <f>IF(ISBLANK(Data!T45),"",Data!T45)</f>
        <v/>
      </c>
      <c r="K123" s="50" t="str">
        <f>IF(ISBLANK(Data!AN85),"",Data!AN85)</f>
        <v/>
      </c>
      <c r="L123" s="52" t="str">
        <f>IF(ISBLANK(Data!AO85),"",Data!AO85)</f>
        <v/>
      </c>
      <c r="M123" s="53" t="str">
        <f>IF(ISBLANK(Data!AP85),"",Data!AP85)</f>
        <v/>
      </c>
      <c r="N123" s="54" t="str">
        <f>IF(ISBLANK(Data!AQ85),"",Data!AQ85)</f>
        <v/>
      </c>
      <c r="O123" s="53" t="str">
        <f>IF(ISBLANK(Data!AR85),"",Data!AR85)</f>
        <v/>
      </c>
      <c r="P123" s="54" t="str">
        <f>IF(ISBLANK(Data!AS85),"",Data!AS85)</f>
        <v/>
      </c>
      <c r="Q123" s="53" t="str">
        <f>IF(ISBLANK(Data!AT85),"",Data!AT85)</f>
        <v/>
      </c>
      <c r="R123" s="54" t="str">
        <f>IF(ISBLANK(Data!AU85),"",Data!AU85)</f>
        <v/>
      </c>
      <c r="S123" s="60" t="str">
        <f>IF(Data!M8="","",IF(Data!M8=0,1080,Data!M8))</f>
        <v/>
      </c>
      <c r="T123" s="61" t="str">
        <f>IF(ISBLANK(Data!N8),"",Data!N8)</f>
        <v/>
      </c>
      <c r="U123" s="21">
        <f t="shared" si="12"/>
        <v>1</v>
      </c>
      <c r="V123" s="58">
        <f t="shared" si="13"/>
        <v>1</v>
      </c>
    </row>
    <row r="124" spans="2:22" ht="14.1" customHeight="1" x14ac:dyDescent="0.25">
      <c r="B124" s="59">
        <f t="shared" si="11"/>
        <v>4</v>
      </c>
      <c r="C124" s="50" t="str">
        <f>IF(ISBLANK(Data!I47),"",Data!I47)</f>
        <v/>
      </c>
      <c r="D124" s="51" t="str">
        <f>IF(ISBLANK(Data!J47),"",IF(Data!J47=2,0,Data!J47))</f>
        <v/>
      </c>
      <c r="E124" s="51" t="str">
        <f>IF(ISBLANK(Data!K47),"",Data!K47)</f>
        <v/>
      </c>
      <c r="F124" s="52" t="str">
        <f>IF(ISBLANK(Data!L47),"",Data!L47)</f>
        <v/>
      </c>
      <c r="G124" s="50" t="str">
        <f>IF(ISBLANK(Data!Q46),"",Data!Q46)</f>
        <v/>
      </c>
      <c r="H124" s="51" t="str">
        <f>IF(ISBLANK(Data!R46),"",IF(Data!R46=2,0,Data!R46))</f>
        <v/>
      </c>
      <c r="I124" s="51" t="str">
        <f>IF(ISBLANK(Data!S46),"",Data!S46)</f>
        <v/>
      </c>
      <c r="J124" s="52" t="str">
        <f>IF(ISBLANK(Data!T46),"",Data!T46)</f>
        <v/>
      </c>
      <c r="K124" s="50" t="str">
        <f>IF(ISBLANK(Data!AN86),"",Data!AN86)</f>
        <v/>
      </c>
      <c r="L124" s="52" t="str">
        <f>IF(ISBLANK(Data!AO86),"",Data!AO86)</f>
        <v/>
      </c>
      <c r="M124" s="53" t="str">
        <f>IF(ISBLANK(Data!AP86),"",Data!AP86)</f>
        <v/>
      </c>
      <c r="N124" s="54" t="str">
        <f>IF(ISBLANK(Data!AQ86),"",Data!AQ86)</f>
        <v/>
      </c>
      <c r="O124" s="53" t="str">
        <f>IF(ISBLANK(Data!AR86),"",Data!AR86)</f>
        <v/>
      </c>
      <c r="P124" s="54" t="str">
        <f>IF(ISBLANK(Data!AS86),"",Data!AS86)</f>
        <v/>
      </c>
      <c r="Q124" s="53" t="str">
        <f>IF(ISBLANK(Data!AT86),"",Data!AT86)</f>
        <v/>
      </c>
      <c r="R124" s="54" t="str">
        <f>IF(ISBLANK(Data!AU86),"",Data!AU86)</f>
        <v/>
      </c>
      <c r="S124" s="60" t="str">
        <f>IF(Data!M9="","",IF(Data!M9=0,1080,Data!M9))</f>
        <v/>
      </c>
      <c r="T124" s="61" t="str">
        <f>IF(ISBLANK(Data!N9),"",Data!N9)</f>
        <v/>
      </c>
      <c r="U124" s="21">
        <f t="shared" si="12"/>
        <v>1</v>
      </c>
      <c r="V124" s="58">
        <f t="shared" si="13"/>
        <v>1</v>
      </c>
    </row>
    <row r="125" spans="2:22" ht="14.1" customHeight="1" x14ac:dyDescent="0.25">
      <c r="B125" s="59">
        <f t="shared" si="11"/>
        <v>5</v>
      </c>
      <c r="C125" s="50" t="str">
        <f>IF(ISBLANK(Data!I48),"",Data!I48)</f>
        <v/>
      </c>
      <c r="D125" s="51" t="str">
        <f>IF(ISBLANK(Data!J48),"",IF(Data!J48=2,0,Data!J48))</f>
        <v/>
      </c>
      <c r="E125" s="51" t="str">
        <f>IF(ISBLANK(Data!K48),"",Data!K48)</f>
        <v/>
      </c>
      <c r="F125" s="52" t="str">
        <f>IF(ISBLANK(Data!L48),"",Data!L48)</f>
        <v/>
      </c>
      <c r="G125" s="50" t="str">
        <f>IF(ISBLANK(Data!Q47),"",Data!Q47)</f>
        <v/>
      </c>
      <c r="H125" s="51" t="str">
        <f>IF(ISBLANK(Data!R47),"",IF(Data!R47=2,0,Data!R47))</f>
        <v/>
      </c>
      <c r="I125" s="51" t="str">
        <f>IF(ISBLANK(Data!S47),"",Data!S47)</f>
        <v/>
      </c>
      <c r="J125" s="52" t="str">
        <f>IF(ISBLANK(Data!T47),"",Data!T47)</f>
        <v/>
      </c>
      <c r="K125" s="50" t="str">
        <f>IF(ISBLANK(Data!AN87),"",Data!AN87)</f>
        <v/>
      </c>
      <c r="L125" s="52" t="str">
        <f>IF(ISBLANK(Data!AO87),"",Data!AO87)</f>
        <v/>
      </c>
      <c r="M125" s="53" t="str">
        <f>IF(ISBLANK(Data!AP87),"",Data!AP87)</f>
        <v/>
      </c>
      <c r="N125" s="54" t="str">
        <f>IF(ISBLANK(Data!AQ87),"",Data!AQ87)</f>
        <v/>
      </c>
      <c r="O125" s="53" t="str">
        <f>IF(ISBLANK(Data!AR87),"",Data!AR87)</f>
        <v/>
      </c>
      <c r="P125" s="54" t="str">
        <f>IF(ISBLANK(Data!AS87),"",Data!AS87)</f>
        <v/>
      </c>
      <c r="Q125" s="53" t="str">
        <f>IF(ISBLANK(Data!AT87),"",Data!AT87)</f>
        <v/>
      </c>
      <c r="R125" s="54" t="str">
        <f>IF(ISBLANK(Data!AU87),"",Data!AU87)</f>
        <v/>
      </c>
      <c r="S125" s="60" t="str">
        <f>IF(Data!M10="","",IF(Data!M10=0,1080,Data!M10))</f>
        <v/>
      </c>
      <c r="T125" s="61" t="str">
        <f>IF(ISBLANK(Data!N10),"",Data!N10)</f>
        <v/>
      </c>
      <c r="U125" s="21">
        <f t="shared" si="12"/>
        <v>1</v>
      </c>
      <c r="V125" s="58">
        <f t="shared" si="13"/>
        <v>1</v>
      </c>
    </row>
    <row r="126" spans="2:22" ht="14.1" customHeight="1" x14ac:dyDescent="0.25">
      <c r="B126" s="59">
        <f t="shared" si="11"/>
        <v>6</v>
      </c>
      <c r="C126" s="50" t="str">
        <f>IF(ISBLANK(Data!I49),"",Data!I49)</f>
        <v/>
      </c>
      <c r="D126" s="51" t="str">
        <f>IF(ISBLANK(Data!J49),"",IF(Data!J49=2,0,Data!J49))</f>
        <v/>
      </c>
      <c r="E126" s="51" t="str">
        <f>IF(ISBLANK(Data!K49),"",Data!K49)</f>
        <v/>
      </c>
      <c r="F126" s="52" t="str">
        <f>IF(ISBLANK(Data!L49),"",Data!L49)</f>
        <v/>
      </c>
      <c r="G126" s="50" t="str">
        <f>IF(ISBLANK(Data!Q48),"",Data!Q48)</f>
        <v/>
      </c>
      <c r="H126" s="51" t="str">
        <f>IF(ISBLANK(Data!R48),"",IF(Data!R48=2,0,Data!R48))</f>
        <v/>
      </c>
      <c r="I126" s="51" t="str">
        <f>IF(ISBLANK(Data!S48),"",Data!S48)</f>
        <v/>
      </c>
      <c r="J126" s="52" t="str">
        <f>IF(ISBLANK(Data!T48),"",Data!T48)</f>
        <v/>
      </c>
      <c r="K126" s="50" t="str">
        <f>IF(ISBLANK(Data!AN88),"",Data!AN88)</f>
        <v/>
      </c>
      <c r="L126" s="52" t="str">
        <f>IF(ISBLANK(Data!AO88),"",Data!AO88)</f>
        <v/>
      </c>
      <c r="M126" s="53" t="str">
        <f>IF(ISBLANK(Data!AP88),"",Data!AP88)</f>
        <v/>
      </c>
      <c r="N126" s="54" t="str">
        <f>IF(ISBLANK(Data!AQ88),"",Data!AQ88)</f>
        <v/>
      </c>
      <c r="O126" s="53" t="str">
        <f>IF(ISBLANK(Data!AR88),"",Data!AR88)</f>
        <v/>
      </c>
      <c r="P126" s="54" t="str">
        <f>IF(ISBLANK(Data!AS88),"",Data!AS88)</f>
        <v/>
      </c>
      <c r="Q126" s="53" t="str">
        <f>IF(ISBLANK(Data!AT88),"",Data!AT88)</f>
        <v/>
      </c>
      <c r="R126" s="54" t="str">
        <f>IF(ISBLANK(Data!AU88),"",Data!AU88)</f>
        <v/>
      </c>
      <c r="S126" s="60" t="str">
        <f>IF(Data!M11="","",IF(Data!M11=0,1080,Data!M11))</f>
        <v/>
      </c>
      <c r="T126" s="61" t="str">
        <f>IF(ISBLANK(Data!N11),"",Data!N11)</f>
        <v/>
      </c>
      <c r="U126" s="21">
        <f t="shared" si="12"/>
        <v>1</v>
      </c>
      <c r="V126" s="58">
        <f t="shared" si="13"/>
        <v>1</v>
      </c>
    </row>
    <row r="127" spans="2:22" ht="14.1" customHeight="1" x14ac:dyDescent="0.25">
      <c r="B127" s="59">
        <f t="shared" si="11"/>
        <v>7</v>
      </c>
      <c r="C127" s="50" t="str">
        <f>IF(ISBLANK(Data!I50),"",Data!I50)</f>
        <v/>
      </c>
      <c r="D127" s="51" t="str">
        <f>IF(ISBLANK(Data!J50),"",IF(Data!J50=2,0,Data!J50))</f>
        <v/>
      </c>
      <c r="E127" s="51" t="str">
        <f>IF(ISBLANK(Data!K50),"",Data!K50)</f>
        <v/>
      </c>
      <c r="F127" s="52" t="str">
        <f>IF(ISBLANK(Data!L50),"",Data!L50)</f>
        <v/>
      </c>
      <c r="G127" s="50" t="str">
        <f>IF(ISBLANK(Data!Q49),"",Data!Q49)</f>
        <v/>
      </c>
      <c r="H127" s="51" t="str">
        <f>IF(ISBLANK(Data!R49),"",IF(Data!R49=2,0,Data!R49))</f>
        <v/>
      </c>
      <c r="I127" s="51" t="str">
        <f>IF(ISBLANK(Data!S49),"",Data!S49)</f>
        <v/>
      </c>
      <c r="J127" s="52" t="str">
        <f>IF(ISBLANK(Data!T49),"",Data!T49)</f>
        <v/>
      </c>
      <c r="K127" s="50" t="str">
        <f>IF(ISBLANK(Data!AN89),"",Data!AN89)</f>
        <v/>
      </c>
      <c r="L127" s="52" t="str">
        <f>IF(ISBLANK(Data!AO89),"",Data!AO89)</f>
        <v/>
      </c>
      <c r="M127" s="53" t="str">
        <f>IF(ISBLANK(Data!AP89),"",Data!AP89)</f>
        <v/>
      </c>
      <c r="N127" s="54" t="str">
        <f>IF(ISBLANK(Data!AQ89),"",Data!AQ89)</f>
        <v/>
      </c>
      <c r="O127" s="53" t="str">
        <f>IF(ISBLANK(Data!AR89),"",Data!AR89)</f>
        <v/>
      </c>
      <c r="P127" s="54" t="str">
        <f>IF(ISBLANK(Data!AS89),"",Data!AS89)</f>
        <v/>
      </c>
      <c r="Q127" s="53" t="str">
        <f>IF(ISBLANK(Data!AT89),"",Data!AT89)</f>
        <v/>
      </c>
      <c r="R127" s="54" t="str">
        <f>IF(ISBLANK(Data!AU89),"",Data!AU89)</f>
        <v/>
      </c>
      <c r="S127" s="60" t="str">
        <f>IF(Data!M12="","",IF(Data!M12=0,1080,Data!M12))</f>
        <v/>
      </c>
      <c r="T127" s="61" t="str">
        <f>IF(ISBLANK(Data!N12),"",Data!N12)</f>
        <v/>
      </c>
      <c r="U127" s="21">
        <f t="shared" si="12"/>
        <v>1</v>
      </c>
      <c r="V127" s="58">
        <f t="shared" si="13"/>
        <v>1</v>
      </c>
    </row>
    <row r="128" spans="2:22" ht="14.1" customHeight="1" x14ac:dyDescent="0.25">
      <c r="B128" s="59">
        <f t="shared" si="11"/>
        <v>8</v>
      </c>
      <c r="C128" s="50" t="str">
        <f>IF(ISBLANK(Data!I51),"",Data!I51)</f>
        <v/>
      </c>
      <c r="D128" s="51" t="str">
        <f>IF(ISBLANK(Data!J51),"",IF(Data!J51=2,0,Data!J51))</f>
        <v/>
      </c>
      <c r="E128" s="51" t="str">
        <f>IF(ISBLANK(Data!K51),"",Data!K51)</f>
        <v/>
      </c>
      <c r="F128" s="52" t="str">
        <f>IF(ISBLANK(Data!L51),"",Data!L51)</f>
        <v/>
      </c>
      <c r="G128" s="50" t="str">
        <f>IF(ISBLANK(Data!Q50),"",Data!Q50)</f>
        <v/>
      </c>
      <c r="H128" s="51" t="str">
        <f>IF(ISBLANK(Data!R50),"",IF(Data!R50=2,0,Data!R50))</f>
        <v/>
      </c>
      <c r="I128" s="51" t="str">
        <f>IF(ISBLANK(Data!S50),"",Data!S50)</f>
        <v/>
      </c>
      <c r="J128" s="52" t="str">
        <f>IF(ISBLANK(Data!T50),"",Data!T50)</f>
        <v/>
      </c>
      <c r="K128" s="50" t="str">
        <f>IF(ISBLANK(Data!AN90),"",Data!AN90)</f>
        <v/>
      </c>
      <c r="L128" s="52" t="str">
        <f>IF(ISBLANK(Data!AO90),"",Data!AO90)</f>
        <v/>
      </c>
      <c r="M128" s="53" t="str">
        <f>IF(ISBLANK(Data!AP90),"",Data!AP90)</f>
        <v/>
      </c>
      <c r="N128" s="54" t="str">
        <f>IF(ISBLANK(Data!AQ90),"",Data!AQ90)</f>
        <v/>
      </c>
      <c r="O128" s="53" t="str">
        <f>IF(ISBLANK(Data!AR90),"",Data!AR90)</f>
        <v/>
      </c>
      <c r="P128" s="54" t="str">
        <f>IF(ISBLANK(Data!AS90),"",Data!AS90)</f>
        <v/>
      </c>
      <c r="Q128" s="53" t="str">
        <f>IF(ISBLANK(Data!AT90),"",Data!AT90)</f>
        <v/>
      </c>
      <c r="R128" s="54" t="str">
        <f>IF(ISBLANK(Data!AU90),"",Data!AU90)</f>
        <v/>
      </c>
      <c r="S128" s="60" t="str">
        <f>IF(Data!M13="","",IF(Data!M13=0,1080,Data!M13))</f>
        <v/>
      </c>
      <c r="T128" s="61" t="str">
        <f>IF(ISBLANK(Data!N13),"",Data!N13)</f>
        <v/>
      </c>
      <c r="U128" s="21">
        <f t="shared" si="12"/>
        <v>1</v>
      </c>
      <c r="V128" s="58">
        <f t="shared" si="13"/>
        <v>1</v>
      </c>
    </row>
    <row r="129" spans="2:22" ht="14.1" customHeight="1" x14ac:dyDescent="0.25">
      <c r="B129" s="59">
        <f t="shared" si="11"/>
        <v>9</v>
      </c>
      <c r="C129" s="50" t="str">
        <f>IF(ISBLANK(Data!I52),"",Data!I52)</f>
        <v/>
      </c>
      <c r="D129" s="51" t="str">
        <f>IF(ISBLANK(Data!J52),"",IF(Data!J52=2,0,Data!J52))</f>
        <v/>
      </c>
      <c r="E129" s="51" t="str">
        <f>IF(ISBLANK(Data!K52),"",Data!K52)</f>
        <v/>
      </c>
      <c r="F129" s="52" t="str">
        <f>IF(ISBLANK(Data!L52),"",Data!L52)</f>
        <v/>
      </c>
      <c r="G129" s="50" t="str">
        <f>IF(ISBLANK(Data!Q51),"",Data!Q51)</f>
        <v/>
      </c>
      <c r="H129" s="51" t="str">
        <f>IF(ISBLANK(Data!R51),"",IF(Data!R51=2,0,Data!R51))</f>
        <v/>
      </c>
      <c r="I129" s="51" t="str">
        <f>IF(ISBLANK(Data!S51),"",Data!S51)</f>
        <v/>
      </c>
      <c r="J129" s="52" t="str">
        <f>IF(ISBLANK(Data!T51),"",Data!T51)</f>
        <v/>
      </c>
      <c r="K129" s="50" t="str">
        <f>IF(ISBLANK(Data!AN91),"",Data!AN91)</f>
        <v/>
      </c>
      <c r="L129" s="52" t="str">
        <f>IF(ISBLANK(Data!AO91),"",Data!AO91)</f>
        <v/>
      </c>
      <c r="M129" s="53" t="str">
        <f>IF(ISBLANK(Data!AP91),"",Data!AP91)</f>
        <v/>
      </c>
      <c r="N129" s="54" t="str">
        <f>IF(ISBLANK(Data!AQ91),"",Data!AQ91)</f>
        <v/>
      </c>
      <c r="O129" s="53" t="str">
        <f>IF(ISBLANK(Data!AR91),"",Data!AR91)</f>
        <v/>
      </c>
      <c r="P129" s="54" t="str">
        <f>IF(ISBLANK(Data!AS91),"",Data!AS91)</f>
        <v/>
      </c>
      <c r="Q129" s="53" t="str">
        <f>IF(ISBLANK(Data!AT91),"",Data!AT91)</f>
        <v/>
      </c>
      <c r="R129" s="54" t="str">
        <f>IF(ISBLANK(Data!AU91),"",Data!AU91)</f>
        <v/>
      </c>
      <c r="S129" s="60" t="str">
        <f>IF(Data!M14="","",IF(Data!M14=0,1080,Data!M14))</f>
        <v/>
      </c>
      <c r="T129" s="61" t="str">
        <f>IF(ISBLANK(Data!N14),"",Data!N14)</f>
        <v/>
      </c>
      <c r="U129" s="21">
        <f t="shared" si="12"/>
        <v>1</v>
      </c>
      <c r="V129" s="58">
        <f t="shared" si="13"/>
        <v>1</v>
      </c>
    </row>
    <row r="130" spans="2:22" ht="14.1" customHeight="1" x14ac:dyDescent="0.25">
      <c r="B130" s="59">
        <f t="shared" si="11"/>
        <v>10</v>
      </c>
      <c r="C130" s="50" t="str">
        <f>IF(ISBLANK(Data!I53),"",Data!I53)</f>
        <v/>
      </c>
      <c r="D130" s="51" t="str">
        <f>IF(ISBLANK(Data!J53),"",IF(Data!J53=2,0,Data!J53))</f>
        <v/>
      </c>
      <c r="E130" s="51" t="str">
        <f>IF(ISBLANK(Data!K53),"",Data!K53)</f>
        <v/>
      </c>
      <c r="F130" s="52" t="str">
        <f>IF(ISBLANK(Data!L53),"",Data!L53)</f>
        <v/>
      </c>
      <c r="G130" s="50" t="str">
        <f>IF(ISBLANK(Data!Q52),"",Data!Q52)</f>
        <v/>
      </c>
      <c r="H130" s="51" t="str">
        <f>IF(ISBLANK(Data!R52),"",IF(Data!R52=2,0,Data!R52))</f>
        <v/>
      </c>
      <c r="I130" s="51" t="str">
        <f>IF(ISBLANK(Data!S52),"",Data!S52)</f>
        <v/>
      </c>
      <c r="J130" s="52" t="str">
        <f>IF(ISBLANK(Data!T52),"",Data!T52)</f>
        <v/>
      </c>
      <c r="K130" s="50" t="str">
        <f>IF(ISBLANK(Data!AN92),"",Data!AN92)</f>
        <v/>
      </c>
      <c r="L130" s="52" t="str">
        <f>IF(ISBLANK(Data!AO92),"",Data!AO92)</f>
        <v/>
      </c>
      <c r="M130" s="53" t="str">
        <f>IF(ISBLANK(Data!AP92),"",Data!AP92)</f>
        <v/>
      </c>
      <c r="N130" s="54" t="str">
        <f>IF(ISBLANK(Data!AQ92),"",Data!AQ92)</f>
        <v/>
      </c>
      <c r="O130" s="53" t="str">
        <f>IF(ISBLANK(Data!AR92),"",Data!AR92)</f>
        <v/>
      </c>
      <c r="P130" s="54" t="str">
        <f>IF(ISBLANK(Data!AS92),"",Data!AS92)</f>
        <v/>
      </c>
      <c r="Q130" s="53" t="str">
        <f>IF(ISBLANK(Data!AT92),"",Data!AT92)</f>
        <v/>
      </c>
      <c r="R130" s="54" t="str">
        <f>IF(ISBLANK(Data!AU92),"",Data!AU92)</f>
        <v/>
      </c>
      <c r="S130" s="60" t="str">
        <f>IF(Data!M15="","",IF(Data!M15=0,1080,Data!M15))</f>
        <v/>
      </c>
      <c r="T130" s="61" t="str">
        <f>IF(ISBLANK(Data!N15),"",Data!N15)</f>
        <v/>
      </c>
      <c r="U130" s="21">
        <f t="shared" si="12"/>
        <v>1</v>
      </c>
      <c r="V130" s="58">
        <f t="shared" si="13"/>
        <v>1</v>
      </c>
    </row>
    <row r="131" spans="2:22" ht="14.1" customHeight="1" x14ac:dyDescent="0.25">
      <c r="B131" s="59">
        <f t="shared" si="11"/>
        <v>11</v>
      </c>
      <c r="C131" s="50" t="str">
        <f>IF(ISBLANK(Data!I54),"",Data!I54)</f>
        <v/>
      </c>
      <c r="D131" s="51" t="str">
        <f>IF(ISBLANK(Data!J54),"",IF(Data!J54=2,0,Data!J54))</f>
        <v/>
      </c>
      <c r="E131" s="51" t="str">
        <f>IF(ISBLANK(Data!K54),"",Data!K54)</f>
        <v/>
      </c>
      <c r="F131" s="52" t="str">
        <f>IF(ISBLANK(Data!L54),"",Data!L54)</f>
        <v/>
      </c>
      <c r="G131" s="50" t="str">
        <f>IF(ISBLANK(Data!Q53),"",Data!Q53)</f>
        <v/>
      </c>
      <c r="H131" s="51" t="str">
        <f>IF(ISBLANK(Data!R53),"",IF(Data!R53=2,0,Data!R53))</f>
        <v/>
      </c>
      <c r="I131" s="51" t="str">
        <f>IF(ISBLANK(Data!S53),"",Data!S53)</f>
        <v/>
      </c>
      <c r="J131" s="52" t="str">
        <f>IF(ISBLANK(Data!T53),"",Data!T53)</f>
        <v/>
      </c>
      <c r="K131" s="50" t="str">
        <f>IF(ISBLANK(Data!AN93),"",Data!AN93)</f>
        <v/>
      </c>
      <c r="L131" s="52" t="str">
        <f>IF(ISBLANK(Data!AO93),"",Data!AO93)</f>
        <v/>
      </c>
      <c r="M131" s="53" t="str">
        <f>IF(ISBLANK(Data!AP93),"",Data!AP93)</f>
        <v/>
      </c>
      <c r="N131" s="54" t="str">
        <f>IF(ISBLANK(Data!AQ93),"",Data!AQ93)</f>
        <v/>
      </c>
      <c r="O131" s="53" t="str">
        <f>IF(ISBLANK(Data!AR93),"",Data!AR93)</f>
        <v/>
      </c>
      <c r="P131" s="54" t="str">
        <f>IF(ISBLANK(Data!AS93),"",Data!AS93)</f>
        <v/>
      </c>
      <c r="Q131" s="53" t="str">
        <f>IF(ISBLANK(Data!AT93),"",Data!AT93)</f>
        <v/>
      </c>
      <c r="R131" s="54" t="str">
        <f>IF(ISBLANK(Data!AU93),"",Data!AU93)</f>
        <v/>
      </c>
      <c r="S131" s="60" t="str">
        <f>IF(Data!M16="","",IF(Data!M16=0,1080,Data!M16))</f>
        <v/>
      </c>
      <c r="T131" s="61" t="str">
        <f>IF(ISBLANK(Data!N16),"",Data!N16)</f>
        <v/>
      </c>
      <c r="U131" s="21">
        <f t="shared" si="12"/>
        <v>1</v>
      </c>
      <c r="V131" s="58">
        <f t="shared" si="13"/>
        <v>1</v>
      </c>
    </row>
    <row r="132" spans="2:22" ht="14.1" customHeight="1" x14ac:dyDescent="0.25">
      <c r="B132" s="59">
        <f t="shared" si="11"/>
        <v>12</v>
      </c>
      <c r="C132" s="50" t="str">
        <f>IF(ISBLANK(Data!I55),"",Data!I55)</f>
        <v/>
      </c>
      <c r="D132" s="51" t="str">
        <f>IF(ISBLANK(Data!J55),"",IF(Data!J55=2,0,Data!J55))</f>
        <v/>
      </c>
      <c r="E132" s="51" t="str">
        <f>IF(ISBLANK(Data!K55),"",Data!K55)</f>
        <v/>
      </c>
      <c r="F132" s="52" t="str">
        <f>IF(ISBLANK(Data!L55),"",Data!L55)</f>
        <v/>
      </c>
      <c r="G132" s="50" t="str">
        <f>IF(ISBLANK(Data!Q54),"",Data!Q54)</f>
        <v/>
      </c>
      <c r="H132" s="51" t="str">
        <f>IF(ISBLANK(Data!R54),"",IF(Data!R54=2,0,Data!R54))</f>
        <v/>
      </c>
      <c r="I132" s="51" t="str">
        <f>IF(ISBLANK(Data!S54),"",Data!S54)</f>
        <v/>
      </c>
      <c r="J132" s="52" t="str">
        <f>IF(ISBLANK(Data!T54),"",Data!T54)</f>
        <v/>
      </c>
      <c r="K132" s="50" t="str">
        <f>IF(ISBLANK(Data!AN94),"",Data!AN94)</f>
        <v/>
      </c>
      <c r="L132" s="52" t="str">
        <f>IF(ISBLANK(Data!AO94),"",Data!AO94)</f>
        <v/>
      </c>
      <c r="M132" s="53" t="str">
        <f>IF(ISBLANK(Data!AP94),"",Data!AP94)</f>
        <v/>
      </c>
      <c r="N132" s="54" t="str">
        <f>IF(ISBLANK(Data!AQ94),"",Data!AQ94)</f>
        <v/>
      </c>
      <c r="O132" s="53" t="str">
        <f>IF(ISBLANK(Data!AR94),"",Data!AR94)</f>
        <v/>
      </c>
      <c r="P132" s="54" t="str">
        <f>IF(ISBLANK(Data!AS94),"",Data!AS94)</f>
        <v/>
      </c>
      <c r="Q132" s="53" t="str">
        <f>IF(ISBLANK(Data!AT94),"",Data!AT94)</f>
        <v/>
      </c>
      <c r="R132" s="54" t="str">
        <f>IF(ISBLANK(Data!AU94),"",Data!AU94)</f>
        <v/>
      </c>
      <c r="S132" s="60" t="str">
        <f>IF(Data!M17="","",IF(Data!M17=0,1080,Data!M17))</f>
        <v/>
      </c>
      <c r="T132" s="61" t="str">
        <f>IF(ISBLANK(Data!N17),"",Data!N17)</f>
        <v/>
      </c>
      <c r="U132" s="21">
        <f t="shared" si="12"/>
        <v>1</v>
      </c>
      <c r="V132" s="58">
        <f t="shared" si="13"/>
        <v>1</v>
      </c>
    </row>
    <row r="133" spans="2:22" ht="14.1" customHeight="1" x14ac:dyDescent="0.25">
      <c r="B133" s="59">
        <f t="shared" si="11"/>
        <v>13</v>
      </c>
      <c r="C133" s="50" t="str">
        <f>IF(ISBLANK(Data!I56),"",Data!I56)</f>
        <v/>
      </c>
      <c r="D133" s="51" t="str">
        <f>IF(ISBLANK(Data!J56),"",IF(Data!J56=2,0,Data!J56))</f>
        <v/>
      </c>
      <c r="E133" s="51" t="str">
        <f>IF(ISBLANK(Data!K56),"",Data!K56)</f>
        <v/>
      </c>
      <c r="F133" s="52" t="str">
        <f>IF(ISBLANK(Data!L56),"",Data!L56)</f>
        <v/>
      </c>
      <c r="G133" s="50" t="str">
        <f>IF(ISBLANK(Data!Q55),"",Data!Q55)</f>
        <v/>
      </c>
      <c r="H133" s="51" t="str">
        <f>IF(ISBLANK(Data!R55),"",IF(Data!R55=2,0,Data!R55))</f>
        <v/>
      </c>
      <c r="I133" s="51" t="str">
        <f>IF(ISBLANK(Data!S55),"",Data!S55)</f>
        <v/>
      </c>
      <c r="J133" s="52" t="str">
        <f>IF(ISBLANK(Data!T55),"",Data!T55)</f>
        <v/>
      </c>
      <c r="K133" s="50" t="str">
        <f>IF(ISBLANK(Data!AN95),"",Data!AN95)</f>
        <v/>
      </c>
      <c r="L133" s="52" t="str">
        <f>IF(ISBLANK(Data!AO95),"",Data!AO95)</f>
        <v/>
      </c>
      <c r="M133" s="53" t="str">
        <f>IF(ISBLANK(Data!AP95),"",Data!AP95)</f>
        <v/>
      </c>
      <c r="N133" s="54" t="str">
        <f>IF(ISBLANK(Data!AQ95),"",Data!AQ95)</f>
        <v/>
      </c>
      <c r="O133" s="53" t="str">
        <f>IF(ISBLANK(Data!AR95),"",Data!AR95)</f>
        <v/>
      </c>
      <c r="P133" s="54" t="str">
        <f>IF(ISBLANK(Data!AS95),"",Data!AS95)</f>
        <v/>
      </c>
      <c r="Q133" s="53" t="str">
        <f>IF(ISBLANK(Data!AT95),"",Data!AT95)</f>
        <v/>
      </c>
      <c r="R133" s="54" t="str">
        <f>IF(ISBLANK(Data!AU95),"",Data!AU95)</f>
        <v/>
      </c>
      <c r="S133" s="60" t="str">
        <f>IF(Data!M18="","",IF(Data!M18=0,1080,Data!M18))</f>
        <v/>
      </c>
      <c r="T133" s="61" t="str">
        <f>IF(ISBLANK(Data!N18),"",Data!N18)</f>
        <v/>
      </c>
      <c r="U133" s="21">
        <f t="shared" si="12"/>
        <v>1</v>
      </c>
      <c r="V133" s="58">
        <f t="shared" si="13"/>
        <v>1</v>
      </c>
    </row>
    <row r="134" spans="2:22" ht="14.1" customHeight="1" x14ac:dyDescent="0.25">
      <c r="B134" s="59">
        <f t="shared" si="11"/>
        <v>14</v>
      </c>
      <c r="C134" s="50" t="str">
        <f>IF(ISBLANK(Data!I57),"",Data!I57)</f>
        <v/>
      </c>
      <c r="D134" s="51" t="str">
        <f>IF(ISBLANK(Data!J57),"",IF(Data!J57=2,0,Data!J57))</f>
        <v/>
      </c>
      <c r="E134" s="51" t="str">
        <f>IF(ISBLANK(Data!K57),"",Data!K57)</f>
        <v/>
      </c>
      <c r="F134" s="52" t="str">
        <f>IF(ISBLANK(Data!L57),"",Data!L57)</f>
        <v/>
      </c>
      <c r="G134" s="50" t="str">
        <f>IF(ISBLANK(Data!Q56),"",Data!Q56)</f>
        <v/>
      </c>
      <c r="H134" s="51" t="str">
        <f>IF(ISBLANK(Data!R56),"",IF(Data!R56=2,0,Data!R56))</f>
        <v/>
      </c>
      <c r="I134" s="51" t="str">
        <f>IF(ISBLANK(Data!S56),"",Data!S56)</f>
        <v/>
      </c>
      <c r="J134" s="52" t="str">
        <f>IF(ISBLANK(Data!T56),"",Data!T56)</f>
        <v/>
      </c>
      <c r="K134" s="50" t="str">
        <f>IF(ISBLANK(Data!AN96),"",Data!AN96)</f>
        <v/>
      </c>
      <c r="L134" s="52" t="str">
        <f>IF(ISBLANK(Data!AO96),"",Data!AO96)</f>
        <v/>
      </c>
      <c r="M134" s="53" t="str">
        <f>IF(ISBLANK(Data!AP96),"",Data!AP96)</f>
        <v/>
      </c>
      <c r="N134" s="54" t="str">
        <f>IF(ISBLANK(Data!AQ96),"",Data!AQ96)</f>
        <v/>
      </c>
      <c r="O134" s="53" t="str">
        <f>IF(ISBLANK(Data!AR96),"",Data!AR96)</f>
        <v/>
      </c>
      <c r="P134" s="54" t="str">
        <f>IF(ISBLANK(Data!AS96),"",Data!AS96)</f>
        <v/>
      </c>
      <c r="Q134" s="53" t="str">
        <f>IF(ISBLANK(Data!AT96),"",Data!AT96)</f>
        <v/>
      </c>
      <c r="R134" s="54" t="str">
        <f>IF(ISBLANK(Data!AU96),"",Data!AU96)</f>
        <v/>
      </c>
      <c r="S134" s="60" t="str">
        <f>IF(Data!M19="","",IF(Data!M19=0,1080,Data!M19))</f>
        <v/>
      </c>
      <c r="T134" s="61" t="str">
        <f>IF(ISBLANK(Data!N19),"",Data!N19)</f>
        <v/>
      </c>
      <c r="U134" s="21">
        <f t="shared" si="12"/>
        <v>1</v>
      </c>
      <c r="V134" s="58">
        <f t="shared" si="13"/>
        <v>1</v>
      </c>
    </row>
    <row r="135" spans="2:22" ht="14.1" customHeight="1" x14ac:dyDescent="0.25">
      <c r="B135" s="59">
        <f t="shared" si="11"/>
        <v>15</v>
      </c>
      <c r="C135" s="50" t="str">
        <f>IF(ISBLANK(Data!I58),"",Data!I58)</f>
        <v/>
      </c>
      <c r="D135" s="51" t="str">
        <f>IF(ISBLANK(Data!J58),"",IF(Data!J58=2,0,Data!J58))</f>
        <v/>
      </c>
      <c r="E135" s="51" t="str">
        <f>IF(ISBLANK(Data!K58),"",Data!K58)</f>
        <v/>
      </c>
      <c r="F135" s="52" t="str">
        <f>IF(ISBLANK(Data!L58),"",Data!L58)</f>
        <v/>
      </c>
      <c r="G135" s="50" t="str">
        <f>IF(ISBLANK(Data!Q57),"",Data!Q57)</f>
        <v/>
      </c>
      <c r="H135" s="51" t="str">
        <f>IF(ISBLANK(Data!R57),"",IF(Data!R57=2,0,Data!R57))</f>
        <v/>
      </c>
      <c r="I135" s="51" t="str">
        <f>IF(ISBLANK(Data!S57),"",Data!S57)</f>
        <v/>
      </c>
      <c r="J135" s="52" t="str">
        <f>IF(ISBLANK(Data!T57),"",Data!T57)</f>
        <v/>
      </c>
      <c r="K135" s="50" t="str">
        <f>IF(ISBLANK(Data!AN97),"",Data!AN97)</f>
        <v/>
      </c>
      <c r="L135" s="52" t="str">
        <f>IF(ISBLANK(Data!AO97),"",Data!AO97)</f>
        <v/>
      </c>
      <c r="M135" s="53" t="str">
        <f>IF(ISBLANK(Data!AP97),"",Data!AP97)</f>
        <v/>
      </c>
      <c r="N135" s="54" t="str">
        <f>IF(ISBLANK(Data!AQ97),"",Data!AQ97)</f>
        <v/>
      </c>
      <c r="O135" s="53" t="str">
        <f>IF(ISBLANK(Data!AR97),"",Data!AR97)</f>
        <v/>
      </c>
      <c r="P135" s="54" t="str">
        <f>IF(ISBLANK(Data!AS97),"",Data!AS97)</f>
        <v/>
      </c>
      <c r="Q135" s="53" t="str">
        <f>IF(ISBLANK(Data!AT97),"",Data!AT97)</f>
        <v/>
      </c>
      <c r="R135" s="54" t="str">
        <f>IF(ISBLANK(Data!AU97),"",Data!AU97)</f>
        <v/>
      </c>
      <c r="S135" s="60" t="str">
        <f>IF(Data!M20="","",IF(Data!M20=0,1080,Data!M20))</f>
        <v/>
      </c>
      <c r="T135" s="61" t="str">
        <f>IF(ISBLANK(Data!N20),"",Data!N20)</f>
        <v/>
      </c>
      <c r="U135" s="21">
        <f t="shared" si="12"/>
        <v>1</v>
      </c>
      <c r="V135" s="58">
        <f t="shared" si="13"/>
        <v>1</v>
      </c>
    </row>
    <row r="136" spans="2:22" ht="14.1" customHeight="1" x14ac:dyDescent="0.25">
      <c r="B136" s="59">
        <f t="shared" si="11"/>
        <v>16</v>
      </c>
      <c r="C136" s="50" t="str">
        <f>IF(ISBLANK(Data!I59),"",Data!I59)</f>
        <v/>
      </c>
      <c r="D136" s="51" t="str">
        <f>IF(ISBLANK(Data!J59),"",IF(Data!J59=2,0,Data!J59))</f>
        <v/>
      </c>
      <c r="E136" s="51" t="str">
        <f>IF(ISBLANK(Data!K59),"",Data!K59)</f>
        <v/>
      </c>
      <c r="F136" s="52" t="str">
        <f>IF(ISBLANK(Data!L59),"",Data!L59)</f>
        <v/>
      </c>
      <c r="G136" s="50" t="str">
        <f>IF(ISBLANK(Data!Q58),"",Data!Q58)</f>
        <v/>
      </c>
      <c r="H136" s="51" t="str">
        <f>IF(ISBLANK(Data!R58),"",IF(Data!R58=2,0,Data!R58))</f>
        <v/>
      </c>
      <c r="I136" s="51" t="str">
        <f>IF(ISBLANK(Data!S58),"",Data!S58)</f>
        <v/>
      </c>
      <c r="J136" s="52" t="str">
        <f>IF(ISBLANK(Data!T58),"",Data!T58)</f>
        <v/>
      </c>
      <c r="K136" s="50" t="str">
        <f>IF(ISBLANK(Data!AN98),"",Data!AN98)</f>
        <v/>
      </c>
      <c r="L136" s="52" t="str">
        <f>IF(ISBLANK(Data!AO98),"",Data!AO98)</f>
        <v/>
      </c>
      <c r="M136" s="53" t="str">
        <f>IF(ISBLANK(Data!AP98),"",Data!AP98)</f>
        <v/>
      </c>
      <c r="N136" s="54" t="str">
        <f>IF(ISBLANK(Data!AQ98),"",Data!AQ98)</f>
        <v/>
      </c>
      <c r="O136" s="53" t="str">
        <f>IF(ISBLANK(Data!AR98),"",Data!AR98)</f>
        <v/>
      </c>
      <c r="P136" s="54" t="str">
        <f>IF(ISBLANK(Data!AS98),"",Data!AS98)</f>
        <v/>
      </c>
      <c r="Q136" s="53" t="str">
        <f>IF(ISBLANK(Data!AT98),"",Data!AT98)</f>
        <v/>
      </c>
      <c r="R136" s="54" t="str">
        <f>IF(ISBLANK(Data!AU98),"",Data!AU98)</f>
        <v/>
      </c>
      <c r="S136" s="60" t="str">
        <f>IF(Data!M21="","",IF(Data!M21=0,1080,Data!M21))</f>
        <v/>
      </c>
      <c r="T136" s="61" t="str">
        <f>IF(ISBLANK(Data!N21),"",Data!N21)</f>
        <v/>
      </c>
      <c r="U136" s="21">
        <f t="shared" si="12"/>
        <v>1</v>
      </c>
      <c r="V136" s="58">
        <f t="shared" si="13"/>
        <v>1</v>
      </c>
    </row>
    <row r="137" spans="2:22" ht="14.1" customHeight="1" x14ac:dyDescent="0.25">
      <c r="B137" s="59">
        <f t="shared" si="11"/>
        <v>17</v>
      </c>
      <c r="C137" s="50" t="str">
        <f>IF(ISBLANK(Data!I60),"",Data!I60)</f>
        <v/>
      </c>
      <c r="D137" s="51" t="str">
        <f>IF(ISBLANK(Data!J60),"",IF(Data!J60=2,0,Data!J60))</f>
        <v/>
      </c>
      <c r="E137" s="51" t="str">
        <f>IF(ISBLANK(Data!K60),"",Data!K60)</f>
        <v/>
      </c>
      <c r="F137" s="52" t="str">
        <f>IF(ISBLANK(Data!L60),"",Data!L60)</f>
        <v/>
      </c>
      <c r="G137" s="50" t="str">
        <f>IF(ISBLANK(Data!Q59),"",Data!Q59)</f>
        <v/>
      </c>
      <c r="H137" s="51" t="str">
        <f>IF(ISBLANK(Data!R59),"",IF(Data!R59=2,0,Data!R59))</f>
        <v/>
      </c>
      <c r="I137" s="51" t="str">
        <f>IF(ISBLANK(Data!S59),"",Data!S59)</f>
        <v/>
      </c>
      <c r="J137" s="52" t="str">
        <f>IF(ISBLANK(Data!T59),"",Data!T59)</f>
        <v/>
      </c>
      <c r="K137" s="50" t="str">
        <f>IF(ISBLANK(Data!AN99),"",Data!AN99)</f>
        <v/>
      </c>
      <c r="L137" s="52" t="str">
        <f>IF(ISBLANK(Data!AO99),"",Data!AO99)</f>
        <v/>
      </c>
      <c r="M137" s="53" t="str">
        <f>IF(ISBLANK(Data!AP99),"",Data!AP99)</f>
        <v/>
      </c>
      <c r="N137" s="54" t="str">
        <f>IF(ISBLANK(Data!AQ99),"",Data!AQ99)</f>
        <v/>
      </c>
      <c r="O137" s="53" t="str">
        <f>IF(ISBLANK(Data!AR99),"",Data!AR99)</f>
        <v/>
      </c>
      <c r="P137" s="54" t="str">
        <f>IF(ISBLANK(Data!AS99),"",Data!AS99)</f>
        <v/>
      </c>
      <c r="Q137" s="53" t="str">
        <f>IF(ISBLANK(Data!AT99),"",Data!AT99)</f>
        <v/>
      </c>
      <c r="R137" s="54" t="str">
        <f>IF(ISBLANK(Data!AU99),"",Data!AU99)</f>
        <v/>
      </c>
      <c r="S137" s="60" t="str">
        <f>IF(Data!M22="","",IF(Data!M22=0,1080,Data!M22))</f>
        <v/>
      </c>
      <c r="T137" s="61" t="str">
        <f>IF(ISBLANK(Data!N22),"",Data!N22)</f>
        <v/>
      </c>
      <c r="U137" s="21">
        <f t="shared" si="12"/>
        <v>1</v>
      </c>
      <c r="V137" s="58">
        <f t="shared" si="13"/>
        <v>1</v>
      </c>
    </row>
    <row r="138" spans="2:22" ht="14.1" customHeight="1" x14ac:dyDescent="0.25">
      <c r="B138" s="59">
        <f t="shared" si="11"/>
        <v>18</v>
      </c>
      <c r="C138" s="50" t="str">
        <f>IF(ISBLANK(Data!I61),"",Data!I61)</f>
        <v/>
      </c>
      <c r="D138" s="51" t="str">
        <f>IF(ISBLANK(Data!J61),"",IF(Data!J61=2,0,Data!J61))</f>
        <v/>
      </c>
      <c r="E138" s="51" t="str">
        <f>IF(ISBLANK(Data!K61),"",Data!K61)</f>
        <v/>
      </c>
      <c r="F138" s="52" t="str">
        <f>IF(ISBLANK(Data!L61),"",Data!L61)</f>
        <v/>
      </c>
      <c r="G138" s="50" t="str">
        <f>IF(ISBLANK(Data!Q60),"",Data!Q60)</f>
        <v/>
      </c>
      <c r="H138" s="51" t="str">
        <f>IF(ISBLANK(Data!R60),"",IF(Data!R60=2,0,Data!R60))</f>
        <v/>
      </c>
      <c r="I138" s="51" t="str">
        <f>IF(ISBLANK(Data!S60),"",Data!S60)</f>
        <v/>
      </c>
      <c r="J138" s="52" t="str">
        <f>IF(ISBLANK(Data!T60),"",Data!T60)</f>
        <v/>
      </c>
      <c r="K138" s="50" t="str">
        <f>IF(ISBLANK(Data!AN100),"",Data!AN100)</f>
        <v/>
      </c>
      <c r="L138" s="52" t="str">
        <f>IF(ISBLANK(Data!AO100),"",Data!AO100)</f>
        <v/>
      </c>
      <c r="M138" s="53" t="str">
        <f>IF(ISBLANK(Data!AP100),"",Data!AP100)</f>
        <v/>
      </c>
      <c r="N138" s="54" t="str">
        <f>IF(ISBLANK(Data!AQ100),"",Data!AQ100)</f>
        <v/>
      </c>
      <c r="O138" s="53" t="str">
        <f>IF(ISBLANK(Data!AR100),"",Data!AR100)</f>
        <v/>
      </c>
      <c r="P138" s="54" t="str">
        <f>IF(ISBLANK(Data!AS100),"",Data!AS100)</f>
        <v/>
      </c>
      <c r="Q138" s="53" t="str">
        <f>IF(ISBLANK(Data!AT100),"",Data!AT100)</f>
        <v/>
      </c>
      <c r="R138" s="54" t="str">
        <f>IF(ISBLANK(Data!AU100),"",Data!AU100)</f>
        <v/>
      </c>
      <c r="S138" s="60" t="str">
        <f>IF(Data!M23="","",IF(Data!M23=0,1080,Data!M23))</f>
        <v/>
      </c>
      <c r="T138" s="61" t="str">
        <f>IF(ISBLANK(Data!N23),"",Data!N23)</f>
        <v/>
      </c>
      <c r="U138" s="21">
        <f t="shared" si="12"/>
        <v>1</v>
      </c>
      <c r="V138" s="58">
        <f t="shared" si="13"/>
        <v>1</v>
      </c>
    </row>
    <row r="139" spans="2:22" ht="14.1" customHeight="1" x14ac:dyDescent="0.25">
      <c r="B139" s="59">
        <f t="shared" si="11"/>
        <v>19</v>
      </c>
      <c r="C139" s="50" t="str">
        <f>IF(ISBLANK(Data!I62),"",Data!I62)</f>
        <v/>
      </c>
      <c r="D139" s="51" t="str">
        <f>IF(ISBLANK(Data!J62),"",IF(Data!J62=2,0,Data!J62))</f>
        <v/>
      </c>
      <c r="E139" s="51" t="str">
        <f>IF(ISBLANK(Data!K62),"",Data!K62)</f>
        <v/>
      </c>
      <c r="F139" s="52" t="str">
        <f>IF(ISBLANK(Data!L62),"",Data!L62)</f>
        <v/>
      </c>
      <c r="G139" s="50" t="str">
        <f>IF(ISBLANK(Data!Q61),"",Data!Q61)</f>
        <v/>
      </c>
      <c r="H139" s="51" t="str">
        <f>IF(ISBLANK(Data!R61),"",IF(Data!R61=2,0,Data!R61))</f>
        <v/>
      </c>
      <c r="I139" s="51" t="str">
        <f>IF(ISBLANK(Data!S61),"",Data!S61)</f>
        <v/>
      </c>
      <c r="J139" s="52" t="str">
        <f>IF(ISBLANK(Data!T61),"",Data!T61)</f>
        <v/>
      </c>
      <c r="K139" s="50" t="str">
        <f>IF(ISBLANK(Data!AN101),"",Data!AN101)</f>
        <v/>
      </c>
      <c r="L139" s="52" t="str">
        <f>IF(ISBLANK(Data!AO101),"",Data!AO101)</f>
        <v/>
      </c>
      <c r="M139" s="53" t="str">
        <f>IF(ISBLANK(Data!AP101),"",Data!AP101)</f>
        <v/>
      </c>
      <c r="N139" s="54" t="str">
        <f>IF(ISBLANK(Data!AQ101),"",Data!AQ101)</f>
        <v/>
      </c>
      <c r="O139" s="53" t="str">
        <f>IF(ISBLANK(Data!AR101),"",Data!AR101)</f>
        <v/>
      </c>
      <c r="P139" s="54" t="str">
        <f>IF(ISBLANK(Data!AS101),"",Data!AS101)</f>
        <v/>
      </c>
      <c r="Q139" s="53" t="str">
        <f>IF(ISBLANK(Data!AT101),"",Data!AT101)</f>
        <v/>
      </c>
      <c r="R139" s="54" t="str">
        <f>IF(ISBLANK(Data!AU101),"",Data!AU101)</f>
        <v/>
      </c>
      <c r="S139" s="60" t="str">
        <f>IF(Data!M24="","",IF(Data!M24=0,1080,Data!M24))</f>
        <v/>
      </c>
      <c r="T139" s="61" t="str">
        <f>IF(ISBLANK(Data!N24),"",Data!N24)</f>
        <v/>
      </c>
      <c r="U139" s="21">
        <f t="shared" si="12"/>
        <v>1</v>
      </c>
      <c r="V139" s="58">
        <f t="shared" si="13"/>
        <v>1</v>
      </c>
    </row>
    <row r="140" spans="2:22" ht="14.1" customHeight="1" x14ac:dyDescent="0.25">
      <c r="B140" s="59">
        <f t="shared" si="11"/>
        <v>20</v>
      </c>
      <c r="C140" s="50" t="str">
        <f>IF(ISBLANK(Data!I63),"",Data!I63)</f>
        <v/>
      </c>
      <c r="D140" s="51" t="str">
        <f>IF(ISBLANK(Data!J63),"",IF(Data!J63=2,0,Data!J63))</f>
        <v/>
      </c>
      <c r="E140" s="51" t="str">
        <f>IF(ISBLANK(Data!K63),"",Data!K63)</f>
        <v/>
      </c>
      <c r="F140" s="52" t="str">
        <f>IF(ISBLANK(Data!L63),"",Data!L63)</f>
        <v/>
      </c>
      <c r="G140" s="50" t="str">
        <f>IF(ISBLANK(Data!Q62),"",Data!Q62)</f>
        <v/>
      </c>
      <c r="H140" s="51" t="str">
        <f>IF(ISBLANK(Data!R62),"",IF(Data!R62=2,0,Data!R62))</f>
        <v/>
      </c>
      <c r="I140" s="51" t="str">
        <f>IF(ISBLANK(Data!S62),"",Data!S62)</f>
        <v/>
      </c>
      <c r="J140" s="52" t="str">
        <f>IF(ISBLANK(Data!T62),"",Data!T62)</f>
        <v/>
      </c>
      <c r="K140" s="50" t="str">
        <f>IF(ISBLANK(Data!AN102),"",Data!AN102)</f>
        <v/>
      </c>
      <c r="L140" s="52" t="str">
        <f>IF(ISBLANK(Data!AO102),"",Data!AO102)</f>
        <v/>
      </c>
      <c r="M140" s="53" t="str">
        <f>IF(ISBLANK(Data!AP102),"",Data!AP102)</f>
        <v/>
      </c>
      <c r="N140" s="54" t="str">
        <f>IF(ISBLANK(Data!AQ102),"",Data!AQ102)</f>
        <v/>
      </c>
      <c r="O140" s="53" t="str">
        <f>IF(ISBLANK(Data!AR102),"",Data!AR102)</f>
        <v/>
      </c>
      <c r="P140" s="54" t="str">
        <f>IF(ISBLANK(Data!AS102),"",Data!AS102)</f>
        <v/>
      </c>
      <c r="Q140" s="53" t="str">
        <f>IF(ISBLANK(Data!AT102),"",Data!AT102)</f>
        <v/>
      </c>
      <c r="R140" s="54" t="str">
        <f>IF(ISBLANK(Data!AU102),"",Data!AU102)</f>
        <v/>
      </c>
      <c r="S140" s="60" t="str">
        <f>IF(Data!M25="","",IF(Data!M25=0,1080,Data!M25))</f>
        <v/>
      </c>
      <c r="T140" s="61" t="str">
        <f>IF(ISBLANK(Data!N25),"",Data!N25)</f>
        <v/>
      </c>
      <c r="U140" s="21">
        <f t="shared" si="12"/>
        <v>1</v>
      </c>
      <c r="V140" s="58">
        <f t="shared" si="13"/>
        <v>1</v>
      </c>
    </row>
    <row r="141" spans="2:22" ht="14.1" customHeight="1" x14ac:dyDescent="0.25">
      <c r="B141" s="59">
        <f t="shared" si="11"/>
        <v>21</v>
      </c>
      <c r="C141" s="50" t="str">
        <f>IF(ISBLANK(Data!I64),"",Data!I64)</f>
        <v/>
      </c>
      <c r="D141" s="51" t="str">
        <f>IF(ISBLANK(Data!J64),"",IF(Data!J64=2,0,Data!J64))</f>
        <v/>
      </c>
      <c r="E141" s="51" t="str">
        <f>IF(ISBLANK(Data!K64),"",Data!K64)</f>
        <v/>
      </c>
      <c r="F141" s="52" t="str">
        <f>IF(ISBLANK(Data!L64),"",Data!L64)</f>
        <v/>
      </c>
      <c r="G141" s="50" t="str">
        <f>IF(ISBLANK(Data!Q63),"",Data!Q63)</f>
        <v/>
      </c>
      <c r="H141" s="51" t="str">
        <f>IF(ISBLANK(Data!R63),"",IF(Data!R63=2,0,Data!R63))</f>
        <v/>
      </c>
      <c r="I141" s="51" t="str">
        <f>IF(ISBLANK(Data!S63),"",Data!S63)</f>
        <v/>
      </c>
      <c r="J141" s="52" t="str">
        <f>IF(ISBLANK(Data!T63),"",Data!T63)</f>
        <v/>
      </c>
      <c r="K141" s="50" t="str">
        <f>IF(ISBLANK(Data!AN103),"",Data!AN103)</f>
        <v/>
      </c>
      <c r="L141" s="52" t="str">
        <f>IF(ISBLANK(Data!AO103),"",Data!AO103)</f>
        <v/>
      </c>
      <c r="M141" s="53" t="str">
        <f>IF(ISBLANK(Data!AP103),"",Data!AP103)</f>
        <v/>
      </c>
      <c r="N141" s="54" t="str">
        <f>IF(ISBLANK(Data!AQ103),"",Data!AQ103)</f>
        <v/>
      </c>
      <c r="O141" s="53" t="str">
        <f>IF(ISBLANK(Data!AR103),"",Data!AR103)</f>
        <v/>
      </c>
      <c r="P141" s="54" t="str">
        <f>IF(ISBLANK(Data!AS103),"",Data!AS103)</f>
        <v/>
      </c>
      <c r="Q141" s="53" t="str">
        <f>IF(ISBLANK(Data!AT103),"",Data!AT103)</f>
        <v/>
      </c>
      <c r="R141" s="54" t="str">
        <f>IF(ISBLANK(Data!AU103),"",Data!AU103)</f>
        <v/>
      </c>
      <c r="S141" s="60" t="str">
        <f>IF(Data!M26="","",IF(Data!M26=0,1080,Data!M26))</f>
        <v/>
      </c>
      <c r="T141" s="61" t="str">
        <f>IF(ISBLANK(Data!N26),"",Data!N26)</f>
        <v/>
      </c>
      <c r="U141" s="21">
        <f t="shared" si="12"/>
        <v>1</v>
      </c>
      <c r="V141" s="58">
        <f t="shared" si="13"/>
        <v>1</v>
      </c>
    </row>
    <row r="142" spans="2:22" ht="14.1" customHeight="1" x14ac:dyDescent="0.25">
      <c r="B142" s="59">
        <f t="shared" si="11"/>
        <v>22</v>
      </c>
      <c r="C142" s="50" t="str">
        <f>IF(ISBLANK(Data!I65),"",Data!I65)</f>
        <v/>
      </c>
      <c r="D142" s="51" t="str">
        <f>IF(ISBLANK(Data!J65),"",IF(Data!J65=2,0,Data!J65))</f>
        <v/>
      </c>
      <c r="E142" s="51" t="str">
        <f>IF(ISBLANK(Data!K65),"",Data!K65)</f>
        <v/>
      </c>
      <c r="F142" s="52" t="str">
        <f>IF(ISBLANK(Data!L65),"",Data!L65)</f>
        <v/>
      </c>
      <c r="G142" s="50" t="str">
        <f>IF(ISBLANK(Data!Q64),"",Data!Q64)</f>
        <v/>
      </c>
      <c r="H142" s="51" t="str">
        <f>IF(ISBLANK(Data!R64),"",IF(Data!R64=2,0,Data!R64))</f>
        <v/>
      </c>
      <c r="I142" s="51" t="str">
        <f>IF(ISBLANK(Data!S64),"",Data!S64)</f>
        <v/>
      </c>
      <c r="J142" s="52" t="str">
        <f>IF(ISBLANK(Data!T64),"",Data!T64)</f>
        <v/>
      </c>
      <c r="K142" s="50" t="str">
        <f>IF(ISBLANK(Data!AN104),"",Data!AN104)</f>
        <v/>
      </c>
      <c r="L142" s="52" t="str">
        <f>IF(ISBLANK(Data!AO104),"",Data!AO104)</f>
        <v/>
      </c>
      <c r="M142" s="53" t="str">
        <f>IF(ISBLANK(Data!AP104),"",Data!AP104)</f>
        <v/>
      </c>
      <c r="N142" s="54" t="str">
        <f>IF(ISBLANK(Data!AQ104),"",Data!AQ104)</f>
        <v/>
      </c>
      <c r="O142" s="53" t="str">
        <f>IF(ISBLANK(Data!AR104),"",Data!AR104)</f>
        <v/>
      </c>
      <c r="P142" s="54" t="str">
        <f>IF(ISBLANK(Data!AS104),"",Data!AS104)</f>
        <v/>
      </c>
      <c r="Q142" s="53" t="str">
        <f>IF(ISBLANK(Data!AT104),"",Data!AT104)</f>
        <v/>
      </c>
      <c r="R142" s="54" t="str">
        <f>IF(ISBLANK(Data!AU104),"",Data!AU104)</f>
        <v/>
      </c>
      <c r="S142" s="60" t="str">
        <f>IF(Data!M27="","",IF(Data!M27=0,1080,Data!M27))</f>
        <v/>
      </c>
      <c r="T142" s="61" t="str">
        <f>IF(ISBLANK(Data!N27),"",Data!N27)</f>
        <v/>
      </c>
      <c r="U142" s="21">
        <f t="shared" si="12"/>
        <v>1</v>
      </c>
      <c r="V142" s="58">
        <f t="shared" si="13"/>
        <v>1</v>
      </c>
    </row>
    <row r="143" spans="2:22" ht="14.1" customHeight="1" x14ac:dyDescent="0.25">
      <c r="B143" s="59">
        <f t="shared" si="11"/>
        <v>23</v>
      </c>
      <c r="C143" s="50" t="str">
        <f>IF(ISBLANK(Data!I66),"",Data!I66)</f>
        <v/>
      </c>
      <c r="D143" s="51" t="str">
        <f>IF(ISBLANK(Data!J66),"",IF(Data!J66=2,0,Data!J66))</f>
        <v/>
      </c>
      <c r="E143" s="51" t="str">
        <f>IF(ISBLANK(Data!K66),"",Data!K66)</f>
        <v/>
      </c>
      <c r="F143" s="52" t="str">
        <f>IF(ISBLANK(Data!L66),"",Data!L66)</f>
        <v/>
      </c>
      <c r="G143" s="50" t="str">
        <f>IF(ISBLANK(Data!Q65),"",Data!Q65)</f>
        <v/>
      </c>
      <c r="H143" s="51" t="str">
        <f>IF(ISBLANK(Data!R65),"",IF(Data!R65=2,0,Data!R65))</f>
        <v/>
      </c>
      <c r="I143" s="51" t="str">
        <f>IF(ISBLANK(Data!S65),"",Data!S65)</f>
        <v/>
      </c>
      <c r="J143" s="52" t="str">
        <f>IF(ISBLANK(Data!T65),"",Data!T65)</f>
        <v/>
      </c>
      <c r="K143" s="50" t="str">
        <f>IF(ISBLANK(Data!AN105),"",Data!AN105)</f>
        <v/>
      </c>
      <c r="L143" s="52" t="str">
        <f>IF(ISBLANK(Data!AO105),"",Data!AO105)</f>
        <v/>
      </c>
      <c r="M143" s="53" t="str">
        <f>IF(ISBLANK(Data!AP105),"",Data!AP105)</f>
        <v/>
      </c>
      <c r="N143" s="54" t="str">
        <f>IF(ISBLANK(Data!AQ105),"",Data!AQ105)</f>
        <v/>
      </c>
      <c r="O143" s="53" t="str">
        <f>IF(ISBLANK(Data!AR105),"",Data!AR105)</f>
        <v/>
      </c>
      <c r="P143" s="54" t="str">
        <f>IF(ISBLANK(Data!AS105),"",Data!AS105)</f>
        <v/>
      </c>
      <c r="Q143" s="53" t="str">
        <f>IF(ISBLANK(Data!AT105),"",Data!AT105)</f>
        <v/>
      </c>
      <c r="R143" s="54" t="str">
        <f>IF(ISBLANK(Data!AU105),"",Data!AU105)</f>
        <v/>
      </c>
      <c r="S143" s="60" t="str">
        <f>IF(Data!M28="","",IF(Data!M28=0,1080,Data!M28))</f>
        <v/>
      </c>
      <c r="T143" s="61" t="str">
        <f>IF(ISBLANK(Data!N28),"",Data!N28)</f>
        <v/>
      </c>
      <c r="U143" s="21">
        <f t="shared" si="12"/>
        <v>1</v>
      </c>
      <c r="V143" s="58">
        <f t="shared" si="13"/>
        <v>1</v>
      </c>
    </row>
    <row r="144" spans="2:22" ht="14.1" customHeight="1" x14ac:dyDescent="0.25">
      <c r="B144" s="59">
        <f t="shared" si="11"/>
        <v>24</v>
      </c>
      <c r="C144" s="50" t="str">
        <f>IF(ISBLANK(Data!I67),"",Data!I67)</f>
        <v/>
      </c>
      <c r="D144" s="51" t="str">
        <f>IF(ISBLANK(Data!J67),"",IF(Data!J67=2,0,Data!J67))</f>
        <v/>
      </c>
      <c r="E144" s="51" t="str">
        <f>IF(ISBLANK(Data!K67),"",Data!K67)</f>
        <v/>
      </c>
      <c r="F144" s="52" t="str">
        <f>IF(ISBLANK(Data!L67),"",Data!L67)</f>
        <v/>
      </c>
      <c r="G144" s="50" t="str">
        <f>IF(ISBLANK(Data!Q66),"",Data!Q66)</f>
        <v/>
      </c>
      <c r="H144" s="51" t="str">
        <f>IF(ISBLANK(Data!R66),"",IF(Data!R66=2,0,Data!R66))</f>
        <v/>
      </c>
      <c r="I144" s="51" t="str">
        <f>IF(ISBLANK(Data!S66),"",Data!S66)</f>
        <v/>
      </c>
      <c r="J144" s="52" t="str">
        <f>IF(ISBLANK(Data!T66),"",Data!T66)</f>
        <v/>
      </c>
      <c r="K144" s="50" t="str">
        <f>IF(ISBLANK(Data!AN106),"",Data!AN106)</f>
        <v/>
      </c>
      <c r="L144" s="52" t="str">
        <f>IF(ISBLANK(Data!AO106),"",Data!AO106)</f>
        <v/>
      </c>
      <c r="M144" s="53" t="str">
        <f>IF(ISBLANK(Data!AP106),"",Data!AP106)</f>
        <v/>
      </c>
      <c r="N144" s="54" t="str">
        <f>IF(ISBLANK(Data!AQ106),"",Data!AQ106)</f>
        <v/>
      </c>
      <c r="O144" s="53" t="str">
        <f>IF(ISBLANK(Data!AR106),"",Data!AR106)</f>
        <v/>
      </c>
      <c r="P144" s="54" t="str">
        <f>IF(ISBLANK(Data!AS106),"",Data!AS106)</f>
        <v/>
      </c>
      <c r="Q144" s="53" t="str">
        <f>IF(ISBLANK(Data!AT106),"",Data!AT106)</f>
        <v/>
      </c>
      <c r="R144" s="54" t="str">
        <f>IF(ISBLANK(Data!AU106),"",Data!AU106)</f>
        <v/>
      </c>
      <c r="S144" s="60" t="str">
        <f>IF(Data!M29="","",IF(Data!M29=0,1080,Data!M29))</f>
        <v/>
      </c>
      <c r="T144" s="61" t="str">
        <f>IF(ISBLANK(Data!N29),"",Data!N29)</f>
        <v/>
      </c>
      <c r="U144" s="21">
        <f t="shared" si="12"/>
        <v>1</v>
      </c>
      <c r="V144" s="58">
        <f t="shared" si="13"/>
        <v>1</v>
      </c>
    </row>
    <row r="145" spans="2:22" ht="14.1" customHeight="1" x14ac:dyDescent="0.25">
      <c r="B145" s="59">
        <f t="shared" si="11"/>
        <v>25</v>
      </c>
      <c r="C145" s="50" t="str">
        <f>IF(ISBLANK(Data!I68),"",Data!I68)</f>
        <v/>
      </c>
      <c r="D145" s="51" t="str">
        <f>IF(ISBLANK(Data!J68),"",IF(Data!J68=2,0,Data!J68))</f>
        <v/>
      </c>
      <c r="E145" s="51" t="str">
        <f>IF(ISBLANK(Data!K68),"",Data!K68)</f>
        <v/>
      </c>
      <c r="F145" s="52" t="str">
        <f>IF(ISBLANK(Data!L68),"",Data!L68)</f>
        <v/>
      </c>
      <c r="G145" s="50" t="str">
        <f>IF(ISBLANK(Data!Q67),"",Data!Q67)</f>
        <v/>
      </c>
      <c r="H145" s="51" t="str">
        <f>IF(ISBLANK(Data!R67),"",IF(Data!R67=2,0,Data!R67))</f>
        <v/>
      </c>
      <c r="I145" s="51" t="str">
        <f>IF(ISBLANK(Data!S67),"",Data!S67)</f>
        <v/>
      </c>
      <c r="J145" s="52" t="str">
        <f>IF(ISBLANK(Data!T67),"",Data!T67)</f>
        <v/>
      </c>
      <c r="K145" s="50" t="str">
        <f>IF(ISBLANK(Data!AN107),"",Data!AN107)</f>
        <v/>
      </c>
      <c r="L145" s="52" t="str">
        <f>IF(ISBLANK(Data!AO107),"",Data!AO107)</f>
        <v/>
      </c>
      <c r="M145" s="53" t="str">
        <f>IF(ISBLANK(Data!AP107),"",Data!AP107)</f>
        <v/>
      </c>
      <c r="N145" s="54" t="str">
        <f>IF(ISBLANK(Data!AQ107),"",Data!AQ107)</f>
        <v/>
      </c>
      <c r="O145" s="53" t="str">
        <f>IF(ISBLANK(Data!AR107),"",Data!AR107)</f>
        <v/>
      </c>
      <c r="P145" s="54" t="str">
        <f>IF(ISBLANK(Data!AS107),"",Data!AS107)</f>
        <v/>
      </c>
      <c r="Q145" s="53" t="str">
        <f>IF(ISBLANK(Data!AT107),"",Data!AT107)</f>
        <v/>
      </c>
      <c r="R145" s="54" t="str">
        <f>IF(ISBLANK(Data!AU107),"",Data!AU107)</f>
        <v/>
      </c>
      <c r="S145" s="60" t="str">
        <f>IF(Data!M30="","",IF(Data!M30=0,1080,Data!M30))</f>
        <v/>
      </c>
      <c r="T145" s="61" t="str">
        <f>IF(ISBLANK(Data!N30),"",Data!N30)</f>
        <v/>
      </c>
      <c r="U145" s="21">
        <f t="shared" si="12"/>
        <v>1</v>
      </c>
      <c r="V145" s="58">
        <f t="shared" si="13"/>
        <v>1</v>
      </c>
    </row>
    <row r="146" spans="2:22" ht="14.1" customHeight="1" x14ac:dyDescent="0.25">
      <c r="B146" s="59">
        <f t="shared" si="11"/>
        <v>26</v>
      </c>
      <c r="C146" s="50" t="str">
        <f>IF(ISBLANK(Data!I69),"",Data!I69)</f>
        <v/>
      </c>
      <c r="D146" s="51" t="str">
        <f>IF(ISBLANK(Data!J69),"",IF(Data!J69=2,0,Data!J69))</f>
        <v/>
      </c>
      <c r="E146" s="51" t="str">
        <f>IF(ISBLANK(Data!K69),"",Data!K69)</f>
        <v/>
      </c>
      <c r="F146" s="52" t="str">
        <f>IF(ISBLANK(Data!L69),"",Data!L69)</f>
        <v/>
      </c>
      <c r="G146" s="50" t="str">
        <f>IF(ISBLANK(Data!Q68),"",Data!Q68)</f>
        <v/>
      </c>
      <c r="H146" s="51" t="str">
        <f>IF(ISBLANK(Data!R68),"",IF(Data!R68=2,0,Data!R68))</f>
        <v/>
      </c>
      <c r="I146" s="51" t="str">
        <f>IF(ISBLANK(Data!S68),"",Data!S68)</f>
        <v/>
      </c>
      <c r="J146" s="52" t="str">
        <f>IF(ISBLANK(Data!T68),"",Data!T68)</f>
        <v/>
      </c>
      <c r="K146" s="50" t="str">
        <f>IF(ISBLANK(Data!AN108),"",Data!AN108)</f>
        <v/>
      </c>
      <c r="L146" s="52" t="str">
        <f>IF(ISBLANK(Data!AO108),"",Data!AO108)</f>
        <v/>
      </c>
      <c r="M146" s="53" t="str">
        <f>IF(ISBLANK(Data!AP108),"",Data!AP108)</f>
        <v/>
      </c>
      <c r="N146" s="54" t="str">
        <f>IF(ISBLANK(Data!AQ108),"",Data!AQ108)</f>
        <v/>
      </c>
      <c r="O146" s="53" t="str">
        <f>IF(ISBLANK(Data!AR108),"",Data!AR108)</f>
        <v/>
      </c>
      <c r="P146" s="54" t="str">
        <f>IF(ISBLANK(Data!AS108),"",Data!AS108)</f>
        <v/>
      </c>
      <c r="Q146" s="53" t="str">
        <f>IF(ISBLANK(Data!AT108),"",Data!AT108)</f>
        <v/>
      </c>
      <c r="R146" s="54" t="str">
        <f>IF(ISBLANK(Data!AU108),"",Data!AU108)</f>
        <v/>
      </c>
      <c r="S146" s="60" t="str">
        <f>IF(Data!M31="","",IF(Data!M31=0,1080,Data!M31))</f>
        <v/>
      </c>
      <c r="T146" s="61" t="str">
        <f>IF(ISBLANK(Data!N31),"",Data!N31)</f>
        <v/>
      </c>
      <c r="U146" s="21">
        <f t="shared" si="12"/>
        <v>1</v>
      </c>
      <c r="V146" s="58">
        <f t="shared" si="13"/>
        <v>1</v>
      </c>
    </row>
    <row r="147" spans="2:22" ht="14.1" customHeight="1" x14ac:dyDescent="0.25">
      <c r="B147" s="59">
        <f t="shared" si="11"/>
        <v>27</v>
      </c>
      <c r="C147" s="50" t="str">
        <f>IF(ISBLANK(Data!I70),"",Data!I70)</f>
        <v/>
      </c>
      <c r="D147" s="51" t="str">
        <f>IF(ISBLANK(Data!J70),"",IF(Data!J70=2,0,Data!J70))</f>
        <v/>
      </c>
      <c r="E147" s="51" t="str">
        <f>IF(ISBLANK(Data!K70),"",Data!K70)</f>
        <v/>
      </c>
      <c r="F147" s="52" t="str">
        <f>IF(ISBLANK(Data!L70),"",Data!L70)</f>
        <v/>
      </c>
      <c r="G147" s="50" t="str">
        <f>IF(ISBLANK(Data!Q69),"",Data!Q69)</f>
        <v/>
      </c>
      <c r="H147" s="51" t="str">
        <f>IF(ISBLANK(Data!R69),"",IF(Data!R69=2,0,Data!R69))</f>
        <v/>
      </c>
      <c r="I147" s="51" t="str">
        <f>IF(ISBLANK(Data!S69),"",Data!S69)</f>
        <v/>
      </c>
      <c r="J147" s="52" t="str">
        <f>IF(ISBLANK(Data!T69),"",Data!T69)</f>
        <v/>
      </c>
      <c r="K147" s="50" t="str">
        <f>IF(ISBLANK(Data!AN109),"",Data!AN109)</f>
        <v/>
      </c>
      <c r="L147" s="52" t="str">
        <f>IF(ISBLANK(Data!AO109),"",Data!AO109)</f>
        <v/>
      </c>
      <c r="M147" s="53" t="str">
        <f>IF(ISBLANK(Data!AP109),"",Data!AP109)</f>
        <v/>
      </c>
      <c r="N147" s="54" t="str">
        <f>IF(ISBLANK(Data!AQ109),"",Data!AQ109)</f>
        <v/>
      </c>
      <c r="O147" s="53" t="str">
        <f>IF(ISBLANK(Data!AR109),"",Data!AR109)</f>
        <v/>
      </c>
      <c r="P147" s="54" t="str">
        <f>IF(ISBLANK(Data!AS109),"",Data!AS109)</f>
        <v/>
      </c>
      <c r="Q147" s="53" t="str">
        <f>IF(ISBLANK(Data!AT109),"",Data!AT109)</f>
        <v/>
      </c>
      <c r="R147" s="54" t="str">
        <f>IF(ISBLANK(Data!AU109),"",Data!AU109)</f>
        <v/>
      </c>
      <c r="S147" s="60" t="str">
        <f>IF(Data!M32="","",IF(Data!M32=0,1080,Data!M32))</f>
        <v/>
      </c>
      <c r="T147" s="61" t="str">
        <f>IF(ISBLANK(Data!N32),"",Data!N32)</f>
        <v/>
      </c>
      <c r="U147" s="21">
        <f t="shared" si="12"/>
        <v>1</v>
      </c>
      <c r="V147" s="58">
        <f t="shared" si="13"/>
        <v>1</v>
      </c>
    </row>
    <row r="148" spans="2:22" ht="14.1" customHeight="1" x14ac:dyDescent="0.25">
      <c r="B148" s="59">
        <f t="shared" si="11"/>
        <v>28</v>
      </c>
      <c r="C148" s="50" t="str">
        <f>IF(ISBLANK(Data!I71),"",Data!I71)</f>
        <v/>
      </c>
      <c r="D148" s="51" t="str">
        <f>IF(ISBLANK(Data!J71),"",IF(Data!J71=2,0,Data!J71))</f>
        <v/>
      </c>
      <c r="E148" s="51" t="str">
        <f>IF(ISBLANK(Data!K71),"",Data!K71)</f>
        <v/>
      </c>
      <c r="F148" s="52" t="str">
        <f>IF(ISBLANK(Data!L71),"",Data!L71)</f>
        <v/>
      </c>
      <c r="G148" s="50" t="str">
        <f>IF(ISBLANK(Data!Q70),"",Data!Q70)</f>
        <v/>
      </c>
      <c r="H148" s="51" t="str">
        <f>IF(ISBLANK(Data!R70),"",IF(Data!R70=2,0,Data!R70))</f>
        <v/>
      </c>
      <c r="I148" s="51" t="str">
        <f>IF(ISBLANK(Data!S70),"",Data!S70)</f>
        <v/>
      </c>
      <c r="J148" s="52" t="str">
        <f>IF(ISBLANK(Data!T70),"",Data!T70)</f>
        <v/>
      </c>
      <c r="K148" s="50" t="str">
        <f>IF(ISBLANK(Data!AN110),"",Data!AN110)</f>
        <v/>
      </c>
      <c r="L148" s="52" t="str">
        <f>IF(ISBLANK(Data!AO110),"",Data!AO110)</f>
        <v/>
      </c>
      <c r="M148" s="53" t="str">
        <f>IF(ISBLANK(Data!AP110),"",Data!AP110)</f>
        <v/>
      </c>
      <c r="N148" s="54" t="str">
        <f>IF(ISBLANK(Data!AQ110),"",Data!AQ110)</f>
        <v/>
      </c>
      <c r="O148" s="53" t="str">
        <f>IF(ISBLANK(Data!AR110),"",Data!AR110)</f>
        <v/>
      </c>
      <c r="P148" s="54" t="str">
        <f>IF(ISBLANK(Data!AS110),"",Data!AS110)</f>
        <v/>
      </c>
      <c r="Q148" s="53" t="str">
        <f>IF(ISBLANK(Data!AT110),"",Data!AT110)</f>
        <v/>
      </c>
      <c r="R148" s="54" t="str">
        <f>IF(ISBLANK(Data!AU110),"",Data!AU110)</f>
        <v/>
      </c>
      <c r="S148" s="60" t="str">
        <f>IF(Data!M33="","",IF(Data!M33=0,1080,Data!M33))</f>
        <v/>
      </c>
      <c r="T148" s="61" t="str">
        <f>IF(ISBLANK(Data!N33),"",Data!N33)</f>
        <v/>
      </c>
      <c r="U148" s="21">
        <f t="shared" si="12"/>
        <v>1</v>
      </c>
      <c r="V148" s="58">
        <f t="shared" si="13"/>
        <v>1</v>
      </c>
    </row>
    <row r="149" spans="2:22" ht="14.1" customHeight="1" x14ac:dyDescent="0.25">
      <c r="B149" s="59">
        <f t="shared" si="11"/>
        <v>29</v>
      </c>
      <c r="C149" s="50" t="str">
        <f>IF(ISBLANK(Data!I72),"",Data!I72)</f>
        <v/>
      </c>
      <c r="D149" s="51" t="str">
        <f>IF(ISBLANK(Data!J72),"",IF(Data!J72=2,0,Data!J72))</f>
        <v/>
      </c>
      <c r="E149" s="51" t="str">
        <f>IF(ISBLANK(Data!K72),"",Data!K72)</f>
        <v/>
      </c>
      <c r="F149" s="52" t="str">
        <f>IF(ISBLANK(Data!L72),"",Data!L72)</f>
        <v/>
      </c>
      <c r="G149" s="50" t="str">
        <f>IF(ISBLANK(Data!Q71),"",Data!Q71)</f>
        <v/>
      </c>
      <c r="H149" s="51" t="str">
        <f>IF(ISBLANK(Data!R71),"",IF(Data!R71=2,0,Data!R71))</f>
        <v/>
      </c>
      <c r="I149" s="51" t="str">
        <f>IF(ISBLANK(Data!S71),"",Data!S71)</f>
        <v/>
      </c>
      <c r="J149" s="52" t="str">
        <f>IF(ISBLANK(Data!T71),"",Data!T71)</f>
        <v/>
      </c>
      <c r="K149" s="50" t="str">
        <f>IF(ISBLANK(Data!AN111),"",Data!AN111)</f>
        <v/>
      </c>
      <c r="L149" s="52" t="str">
        <f>IF(ISBLANK(Data!AO111),"",Data!AO111)</f>
        <v/>
      </c>
      <c r="M149" s="53" t="str">
        <f>IF(ISBLANK(Data!AP111),"",Data!AP111)</f>
        <v/>
      </c>
      <c r="N149" s="54" t="str">
        <f>IF(ISBLANK(Data!AQ111),"",Data!AQ111)</f>
        <v/>
      </c>
      <c r="O149" s="53" t="str">
        <f>IF(ISBLANK(Data!AR111),"",Data!AR111)</f>
        <v/>
      </c>
      <c r="P149" s="54" t="str">
        <f>IF(ISBLANK(Data!AS111),"",Data!AS111)</f>
        <v/>
      </c>
      <c r="Q149" s="53" t="str">
        <f>IF(ISBLANK(Data!AT111),"",Data!AT111)</f>
        <v/>
      </c>
      <c r="R149" s="54" t="str">
        <f>IF(ISBLANK(Data!AU111),"",Data!AU111)</f>
        <v/>
      </c>
      <c r="S149" s="60" t="str">
        <f>IF(Data!M34="","",IF(Data!M34=0,1080,Data!M34))</f>
        <v/>
      </c>
      <c r="T149" s="61" t="str">
        <f>IF(ISBLANK(Data!N34),"",Data!N34)</f>
        <v/>
      </c>
      <c r="U149" s="21">
        <f t="shared" si="12"/>
        <v>1</v>
      </c>
      <c r="V149" s="58">
        <f t="shared" si="13"/>
        <v>1</v>
      </c>
    </row>
    <row r="150" spans="2:22" ht="14.1" customHeight="1" x14ac:dyDescent="0.25">
      <c r="B150" s="59">
        <f t="shared" si="11"/>
        <v>30</v>
      </c>
      <c r="C150" s="50" t="str">
        <f>IF(ISBLANK(Data!I73),"",Data!I73)</f>
        <v/>
      </c>
      <c r="D150" s="51" t="str">
        <f>IF(ISBLANK(Data!J73),"",IF(Data!J73=2,0,Data!J73))</f>
        <v/>
      </c>
      <c r="E150" s="51" t="str">
        <f>IF(ISBLANK(Data!K73),"",Data!K73)</f>
        <v/>
      </c>
      <c r="F150" s="52" t="str">
        <f>IF(ISBLANK(Data!L73),"",Data!L73)</f>
        <v/>
      </c>
      <c r="G150" s="50" t="str">
        <f>IF(ISBLANK(Data!Q72),"",Data!Q72)</f>
        <v/>
      </c>
      <c r="H150" s="51" t="str">
        <f>IF(ISBLANK(Data!R72),"",IF(Data!R72=2,0,Data!R72))</f>
        <v/>
      </c>
      <c r="I150" s="51" t="str">
        <f>IF(ISBLANK(Data!S72),"",Data!S72)</f>
        <v/>
      </c>
      <c r="J150" s="52" t="str">
        <f>IF(ISBLANK(Data!T72),"",Data!T72)</f>
        <v/>
      </c>
      <c r="K150" s="50" t="str">
        <f>IF(ISBLANK(Data!AN112),"",Data!AN112)</f>
        <v/>
      </c>
      <c r="L150" s="52" t="str">
        <f>IF(ISBLANK(Data!AO112),"",Data!AO112)</f>
        <v/>
      </c>
      <c r="M150" s="53" t="str">
        <f>IF(ISBLANK(Data!AP112),"",Data!AP112)</f>
        <v/>
      </c>
      <c r="N150" s="54" t="str">
        <f>IF(ISBLANK(Data!AQ112),"",Data!AQ112)</f>
        <v/>
      </c>
      <c r="O150" s="53" t="str">
        <f>IF(ISBLANK(Data!AR112),"",Data!AR112)</f>
        <v/>
      </c>
      <c r="P150" s="54" t="str">
        <f>IF(ISBLANK(Data!AS112),"",Data!AS112)</f>
        <v/>
      </c>
      <c r="Q150" s="53" t="str">
        <f>IF(ISBLANK(Data!AT112),"",Data!AT112)</f>
        <v/>
      </c>
      <c r="R150" s="54" t="str">
        <f>IF(ISBLANK(Data!AU112),"",Data!AU112)</f>
        <v/>
      </c>
      <c r="S150" s="60" t="str">
        <f>IF(Data!M35="","",IF(Data!M35=0,1080,Data!M35))</f>
        <v/>
      </c>
      <c r="T150" s="61" t="str">
        <f>IF(ISBLANK(Data!N35),"",Data!N35)</f>
        <v/>
      </c>
      <c r="U150" s="21">
        <f t="shared" si="12"/>
        <v>1</v>
      </c>
      <c r="V150" s="58">
        <f t="shared" si="13"/>
        <v>1</v>
      </c>
    </row>
    <row r="151" spans="2:22" ht="14.1" customHeight="1" thickBot="1" x14ac:dyDescent="0.3">
      <c r="B151" s="62">
        <f t="shared" si="11"/>
        <v>31</v>
      </c>
      <c r="C151" s="63" t="str">
        <f>IF(ISBLANK(Data!I74),"",Data!I74)</f>
        <v/>
      </c>
      <c r="D151" s="64" t="str">
        <f>IF(ISBLANK(Data!J74),"",IF(Data!J74=2,0,Data!J74))</f>
        <v/>
      </c>
      <c r="E151" s="64" t="str">
        <f>IF(ISBLANK(Data!K74),"",Data!K74)</f>
        <v/>
      </c>
      <c r="F151" s="65" t="str">
        <f>IF(ISBLANK(Data!L74),"",Data!L74)</f>
        <v/>
      </c>
      <c r="G151" s="63" t="str">
        <f>IF(ISBLANK(Data!Q73),"",Data!Q73)</f>
        <v/>
      </c>
      <c r="H151" s="64" t="str">
        <f>IF(ISBLANK(Data!R73),"",IF(Data!R73=2,0,Data!R73))</f>
        <v/>
      </c>
      <c r="I151" s="64" t="str">
        <f>IF(ISBLANK(Data!S73),"",Data!S73)</f>
        <v/>
      </c>
      <c r="J151" s="65" t="str">
        <f>IF(ISBLANK(Data!T73),"",Data!T73)</f>
        <v/>
      </c>
      <c r="K151" s="63" t="str">
        <f>IF(ISBLANK(Data!AN113),"",Data!AN113)</f>
        <v/>
      </c>
      <c r="L151" s="65" t="str">
        <f>IF(ISBLANK(Data!AO113),"",Data!AO113)</f>
        <v/>
      </c>
      <c r="M151" s="66" t="str">
        <f>IF(ISBLANK(Data!AP113),"",Data!AP113)</f>
        <v/>
      </c>
      <c r="N151" s="67" t="str">
        <f>IF(ISBLANK(Data!AQ113),"",Data!AQ113)</f>
        <v/>
      </c>
      <c r="O151" s="66" t="str">
        <f>IF(ISBLANK(Data!AR113),"",Data!AR113)</f>
        <v/>
      </c>
      <c r="P151" s="67" t="str">
        <f>IF(ISBLANK(Data!AS113),"",Data!AS113)</f>
        <v/>
      </c>
      <c r="Q151" s="66" t="str">
        <f>IF(ISBLANK(Data!AT113),"",Data!AT113)</f>
        <v/>
      </c>
      <c r="R151" s="67" t="str">
        <f>IF(ISBLANK(Data!AU113),"",Data!AU113)</f>
        <v/>
      </c>
      <c r="S151" s="68" t="str">
        <f>IF(Data!M36="","",IF(Data!M36=0,1080,Data!M36))</f>
        <v/>
      </c>
      <c r="T151" s="69" t="str">
        <f>IF(ISBLANK(Data!N36),"",Data!N36)</f>
        <v/>
      </c>
      <c r="U151" s="21">
        <f t="shared" si="12"/>
        <v>1</v>
      </c>
      <c r="V151" s="58">
        <f t="shared" si="13"/>
        <v>1</v>
      </c>
    </row>
  </sheetData>
  <mergeCells count="87">
    <mergeCell ref="AB6:AB8"/>
    <mergeCell ref="AA6:AA8"/>
    <mergeCell ref="B2:E2"/>
    <mergeCell ref="I2:S2"/>
    <mergeCell ref="Y6:Y8"/>
    <mergeCell ref="X6:X8"/>
    <mergeCell ref="B5:B8"/>
    <mergeCell ref="C5:T5"/>
    <mergeCell ref="K6:R6"/>
    <mergeCell ref="K7:L7"/>
    <mergeCell ref="M7:N7"/>
    <mergeCell ref="O7:P7"/>
    <mergeCell ref="S6:T6"/>
    <mergeCell ref="T7:T8"/>
    <mergeCell ref="Q7:R7"/>
    <mergeCell ref="S7:S8"/>
    <mergeCell ref="U118:V118"/>
    <mergeCell ref="C117:V117"/>
    <mergeCell ref="K119:L119"/>
    <mergeCell ref="M119:N119"/>
    <mergeCell ref="Q119:R119"/>
    <mergeCell ref="S119:T119"/>
    <mergeCell ref="U119:U120"/>
    <mergeCell ref="V119:V120"/>
    <mergeCell ref="K118:T118"/>
    <mergeCell ref="O119:P119"/>
    <mergeCell ref="Q81:R81"/>
    <mergeCell ref="S81:S82"/>
    <mergeCell ref="T81:T82"/>
    <mergeCell ref="O81:P81"/>
    <mergeCell ref="O44:P44"/>
    <mergeCell ref="Q44:R44"/>
    <mergeCell ref="C79:T79"/>
    <mergeCell ref="C80:F80"/>
    <mergeCell ref="G80:J80"/>
    <mergeCell ref="K80:R80"/>
    <mergeCell ref="S80:T80"/>
    <mergeCell ref="C81:C82"/>
    <mergeCell ref="D81:D82"/>
    <mergeCell ref="E81:E82"/>
    <mergeCell ref="F81:F82"/>
    <mergeCell ref="G81:G82"/>
    <mergeCell ref="K81:L81"/>
    <mergeCell ref="M81:N81"/>
    <mergeCell ref="K44:L44"/>
    <mergeCell ref="M44:N44"/>
    <mergeCell ref="B117:B120"/>
    <mergeCell ref="C118:F118"/>
    <mergeCell ref="G118:J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B79:B82"/>
    <mergeCell ref="H81:H82"/>
    <mergeCell ref="I7:I8"/>
    <mergeCell ref="J7:J8"/>
    <mergeCell ref="C6:F6"/>
    <mergeCell ref="G6:J6"/>
    <mergeCell ref="C7:C8"/>
    <mergeCell ref="D7:D8"/>
    <mergeCell ref="E7:E8"/>
    <mergeCell ref="F7:F8"/>
    <mergeCell ref="G7:G8"/>
    <mergeCell ref="H7:H8"/>
    <mergeCell ref="I81:I82"/>
    <mergeCell ref="J81:J82"/>
    <mergeCell ref="I44:I45"/>
    <mergeCell ref="J44:J45"/>
    <mergeCell ref="B42:B45"/>
    <mergeCell ref="C42:T42"/>
    <mergeCell ref="C43:F43"/>
    <mergeCell ref="G43:J43"/>
    <mergeCell ref="K43:R43"/>
    <mergeCell ref="S43:T43"/>
    <mergeCell ref="C44:C45"/>
    <mergeCell ref="D44:D45"/>
    <mergeCell ref="E44:E45"/>
    <mergeCell ref="F44:F45"/>
    <mergeCell ref="G44:G45"/>
    <mergeCell ref="H44:H45"/>
    <mergeCell ref="S44:S45"/>
    <mergeCell ref="T44:T45"/>
  </mergeCells>
  <conditionalFormatting sqref="Q9:Q39">
    <cfRule type="cellIs" dxfId="412" priority="78" operator="equal">
      <formula>1080</formula>
    </cfRule>
  </conditionalFormatting>
  <conditionalFormatting sqref="S9:T39">
    <cfRule type="cellIs" dxfId="411" priority="75" operator="equal">
      <formula>"-"</formula>
    </cfRule>
    <cfRule type="colorScale" priority="77">
      <colorScale>
        <cfvo type="num" val="0"/>
        <cfvo type="num" val="1"/>
        <color theme="0"/>
        <color theme="3" tint="0.39997558519241921"/>
      </colorScale>
    </cfRule>
  </conditionalFormatting>
  <conditionalFormatting sqref="S9:T39">
    <cfRule type="containsErrors" dxfId="410" priority="76">
      <formula>ISERROR(S9)</formula>
    </cfRule>
  </conditionalFormatting>
  <conditionalFormatting sqref="S46:T76">
    <cfRule type="cellIs" dxfId="409" priority="67" operator="equal">
      <formula>"-"</formula>
    </cfRule>
    <cfRule type="colorScale" priority="69">
      <colorScale>
        <cfvo type="num" val="0"/>
        <cfvo type="num" val="1"/>
        <color theme="0"/>
        <color theme="3" tint="0.39997558519241921"/>
      </colorScale>
    </cfRule>
  </conditionalFormatting>
  <conditionalFormatting sqref="S46:T76">
    <cfRule type="containsErrors" dxfId="408" priority="68">
      <formula>ISERROR(S46)</formula>
    </cfRule>
  </conditionalFormatting>
  <conditionalFormatting sqref="S83:T113">
    <cfRule type="cellIs" dxfId="407" priority="63" operator="equal">
      <formula>"-"</formula>
    </cfRule>
    <cfRule type="colorScale" priority="65">
      <colorScale>
        <cfvo type="num" val="0"/>
        <cfvo type="num" val="1"/>
        <color theme="0"/>
        <color theme="3" tint="0.39997558519241921"/>
      </colorScale>
    </cfRule>
  </conditionalFormatting>
  <conditionalFormatting sqref="S83:T113">
    <cfRule type="containsErrors" dxfId="406" priority="64">
      <formula>ISERROR(S83)</formula>
    </cfRule>
  </conditionalFormatting>
  <conditionalFormatting sqref="U121:V151">
    <cfRule type="cellIs" dxfId="405" priority="59" operator="equal">
      <formula>"-"</formula>
    </cfRule>
    <cfRule type="colorScale" priority="61">
      <colorScale>
        <cfvo type="num" val="0"/>
        <cfvo type="num" val="1"/>
        <color theme="0"/>
        <color theme="3" tint="0.39997558519241921"/>
      </colorScale>
    </cfRule>
  </conditionalFormatting>
  <conditionalFormatting sqref="U121:V151">
    <cfRule type="containsErrors" dxfId="404" priority="60">
      <formula>ISERROR(U121)</formula>
    </cfRule>
  </conditionalFormatting>
  <conditionalFormatting sqref="X9:Y39">
    <cfRule type="cellIs" dxfId="403" priority="31" operator="equal">
      <formula>1</formula>
    </cfRule>
    <cfRule type="cellIs" dxfId="402" priority="32" operator="between">
      <formula>0.8</formula>
      <formula>0.999</formula>
    </cfRule>
    <cfRule type="cellIs" dxfId="401" priority="33" operator="between">
      <formula>0.6</formula>
      <formula>0.7999</formula>
    </cfRule>
    <cfRule type="cellIs" dxfId="400" priority="34" operator="between">
      <formula>0.4</formula>
      <formula>0.5999</formula>
    </cfRule>
    <cfRule type="cellIs" dxfId="399" priority="35" operator="between">
      <formula>0.2</formula>
      <formula>0.3999</formula>
    </cfRule>
    <cfRule type="cellIs" dxfId="398" priority="36" operator="between">
      <formula>0</formula>
      <formula>0.1999</formula>
    </cfRule>
  </conditionalFormatting>
  <conditionalFormatting sqref="X9:Y39">
    <cfRule type="cellIs" dxfId="397" priority="25" operator="equal">
      <formula>1</formula>
    </cfRule>
    <cfRule type="cellIs" dxfId="396" priority="26" operator="between">
      <formula>0.8</formula>
      <formula>0.999</formula>
    </cfRule>
    <cfRule type="cellIs" dxfId="395" priority="27" operator="between">
      <formula>0.6</formula>
      <formula>0.7999</formula>
    </cfRule>
    <cfRule type="cellIs" dxfId="394" priority="28" operator="between">
      <formula>0.4</formula>
      <formula>0.5999</formula>
    </cfRule>
    <cfRule type="cellIs" dxfId="393" priority="29" operator="between">
      <formula>0.2</formula>
      <formula>0.3999</formula>
    </cfRule>
    <cfRule type="cellIs" dxfId="392" priority="30" operator="between">
      <formula>0</formula>
      <formula>0.1999</formula>
    </cfRule>
  </conditionalFormatting>
  <conditionalFormatting sqref="C9:P39">
    <cfRule type="cellIs" dxfId="391" priority="24" operator="equal">
      <formula>""</formula>
    </cfRule>
  </conditionalFormatting>
  <conditionalFormatting sqref="C46:P76">
    <cfRule type="cellIs" dxfId="390" priority="23" operator="equal">
      <formula>""</formula>
    </cfRule>
  </conditionalFormatting>
  <conditionalFormatting sqref="C83:P113">
    <cfRule type="cellIs" dxfId="389" priority="22" operator="equal">
      <formula>""</formula>
    </cfRule>
  </conditionalFormatting>
  <conditionalFormatting sqref="G121:R151">
    <cfRule type="cellIs" dxfId="388" priority="21" operator="equal">
      <formula>""</formula>
    </cfRule>
  </conditionalFormatting>
  <conditionalFormatting sqref="C121:F151">
    <cfRule type="cellIs" dxfId="387" priority="20" operator="equal">
      <formula>""</formula>
    </cfRule>
  </conditionalFormatting>
  <conditionalFormatting sqref="AA9:AB9">
    <cfRule type="cellIs" dxfId="386" priority="14" operator="equal">
      <formula>1</formula>
    </cfRule>
    <cfRule type="cellIs" dxfId="385" priority="15" operator="between">
      <formula>0.8</formula>
      <formula>0.999</formula>
    </cfRule>
    <cfRule type="cellIs" dxfId="384" priority="16" operator="between">
      <formula>0.6</formula>
      <formula>0.7999</formula>
    </cfRule>
    <cfRule type="cellIs" dxfId="383" priority="17" operator="between">
      <formula>0.4</formula>
      <formula>0.5999</formula>
    </cfRule>
    <cfRule type="cellIs" dxfId="382" priority="18" operator="between">
      <formula>0.2</formula>
      <formula>0.3999</formula>
    </cfRule>
    <cfRule type="cellIs" dxfId="381" priority="19" operator="between">
      <formula>0</formula>
      <formula>0.1999</formula>
    </cfRule>
  </conditionalFormatting>
  <conditionalFormatting sqref="AA9:AB9">
    <cfRule type="cellIs" dxfId="380" priority="8" operator="equal">
      <formula>1</formula>
    </cfRule>
    <cfRule type="cellIs" dxfId="379" priority="9" operator="between">
      <formula>0.8</formula>
      <formula>0.999</formula>
    </cfRule>
    <cfRule type="cellIs" dxfId="378" priority="10" operator="between">
      <formula>0.6</formula>
      <formula>0.7999</formula>
    </cfRule>
    <cfRule type="cellIs" dxfId="377" priority="11" operator="between">
      <formula>0.4</formula>
      <formula>0.5999</formula>
    </cfRule>
    <cfRule type="cellIs" dxfId="376" priority="12" operator="between">
      <formula>0.2</formula>
      <formula>0.3999</formula>
    </cfRule>
    <cfRule type="cellIs" dxfId="375" priority="13" operator="between">
      <formula>0</formula>
      <formula>0.1999</formula>
    </cfRule>
  </conditionalFormatting>
  <conditionalFormatting sqref="Q9:R39">
    <cfRule type="cellIs" dxfId="374" priority="7" operator="equal">
      <formula>""</formula>
    </cfRule>
  </conditionalFormatting>
  <conditionalFormatting sqref="Q46:Q76">
    <cfRule type="cellIs" dxfId="373" priority="6" operator="equal">
      <formula>1080</formula>
    </cfRule>
  </conditionalFormatting>
  <conditionalFormatting sqref="Q46:R76">
    <cfRule type="cellIs" dxfId="372" priority="5" operator="equal">
      <formula>""</formula>
    </cfRule>
  </conditionalFormatting>
  <conditionalFormatting sqref="Q83:Q113">
    <cfRule type="cellIs" dxfId="371" priority="4" operator="equal">
      <formula>1080</formula>
    </cfRule>
  </conditionalFormatting>
  <conditionalFormatting sqref="Q83:R113">
    <cfRule type="cellIs" dxfId="370" priority="3" operator="equal">
      <formula>""</formula>
    </cfRule>
  </conditionalFormatting>
  <conditionalFormatting sqref="S121:S151">
    <cfRule type="cellIs" dxfId="369" priority="2" operator="equal">
      <formula>1080</formula>
    </cfRule>
  </conditionalFormatting>
  <conditionalFormatting sqref="S121:T151">
    <cfRule type="cellIs" dxfId="368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D4FC-C95C-4289-A5E0-1F9D8FC88CCD}">
  <dimension ref="B1:AK144"/>
  <sheetViews>
    <sheetView tabSelected="1" zoomScaleNormal="100" workbookViewId="0">
      <selection activeCell="O27" sqref="O27"/>
    </sheetView>
  </sheetViews>
  <sheetFormatPr baseColWidth="10" defaultColWidth="11.42578125" defaultRowHeight="14.1" customHeight="1" x14ac:dyDescent="0.25"/>
  <cols>
    <col min="1" max="1" style="5" width="11.42578125" collapsed="true"/>
    <col min="2" max="2" customWidth="true" style="5" width="11.7109375" collapsed="true"/>
    <col min="3" max="5" customWidth="true" style="5" width="30.7109375" collapsed="true"/>
    <col min="6" max="7" customWidth="true" style="5" width="12.5703125" collapsed="true"/>
    <col min="8" max="11" style="5" width="11.42578125" collapsed="true"/>
    <col min="12" max="13" customWidth="true" style="5" width="12.5703125" collapsed="true"/>
    <col min="14" max="18" style="5" width="11.42578125" collapsed="true"/>
    <col min="19" max="19" customWidth="true" style="5" width="11.7109375" collapsed="true"/>
    <col min="20" max="22" customWidth="true" style="5" width="35.7109375" collapsed="true"/>
    <col min="23" max="28" style="5" width="11.42578125" collapsed="true"/>
    <col min="29" max="35" customWidth="true" style="5" width="11.42578125" collapsed="true"/>
    <col min="36" max="36" customWidth="true" style="5" width="67.5703125" collapsed="true"/>
    <col min="37" max="37" customWidth="true" style="5" width="57.42578125" collapsed="true"/>
    <col min="38" max="43" style="5" width="11.42578125" collapsed="true"/>
    <col min="44" max="45" customWidth="true" style="5" width="11.42578125" collapsed="true"/>
    <col min="46" max="16384" style="5" width="11.42578125" collapsed="true"/>
  </cols>
  <sheetData>
    <row r="1" spans="2:24" ht="14.1" customHeight="1" thickBot="1" x14ac:dyDescent="0.3"/>
    <row r="2" spans="2:24" s="6" customFormat="1" ht="30" customHeight="1" thickBot="1" x14ac:dyDescent="0.3">
      <c r="B2" s="297">
        <f>Data!C1</f>
        <v>0</v>
      </c>
      <c r="C2" s="299"/>
      <c r="D2" s="72"/>
      <c r="E2" s="297" t="s">
        <v>78</v>
      </c>
      <c r="F2" s="298"/>
      <c r="G2" s="299"/>
      <c r="I2" s="120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2"/>
    </row>
    <row r="3" spans="2:24" ht="14.1" customHeight="1" x14ac:dyDescent="0.25"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</row>
    <row r="4" spans="2:24" ht="14.1" customHeight="1" thickBot="1" x14ac:dyDescent="0.3"/>
    <row r="5" spans="2:24" s="7" customFormat="1" ht="20.100000000000001" customHeight="1" thickBot="1" x14ac:dyDescent="0.3">
      <c r="B5" s="358" t="s">
        <v>5</v>
      </c>
      <c r="C5" s="350" t="s">
        <v>77</v>
      </c>
      <c r="D5" s="350"/>
      <c r="E5" s="350"/>
      <c r="F5" s="350"/>
      <c r="G5" s="351"/>
      <c r="I5" s="344" t="s">
        <v>45</v>
      </c>
      <c r="J5" s="344"/>
    </row>
    <row r="6" spans="2:24" s="7" customFormat="1" ht="20.100000000000001" customHeight="1" thickBot="1" x14ac:dyDescent="0.3">
      <c r="B6" s="359"/>
      <c r="C6" s="352" t="s">
        <v>50</v>
      </c>
      <c r="D6" s="352"/>
      <c r="E6" s="218" t="s">
        <v>42</v>
      </c>
      <c r="F6" s="338" t="s">
        <v>49</v>
      </c>
      <c r="G6" s="339"/>
      <c r="I6" s="345"/>
      <c r="J6" s="345"/>
      <c r="S6" s="340" t="s">
        <v>5</v>
      </c>
      <c r="T6" s="334" t="s">
        <v>102</v>
      </c>
      <c r="U6" s="336" t="s">
        <v>120</v>
      </c>
      <c r="V6" s="342" t="s">
        <v>119</v>
      </c>
    </row>
    <row r="7" spans="2:24" s="7" customFormat="1" ht="20.100000000000001" customHeight="1" thickBot="1" x14ac:dyDescent="0.3">
      <c r="B7" s="359"/>
      <c r="C7" s="77" t="s">
        <v>48</v>
      </c>
      <c r="D7" s="75" t="s">
        <v>47</v>
      </c>
      <c r="E7" s="76" t="s">
        <v>46</v>
      </c>
      <c r="F7" s="77" t="s">
        <v>33</v>
      </c>
      <c r="G7" s="78" t="s">
        <v>27</v>
      </c>
      <c r="I7" s="74" t="s">
        <v>33</v>
      </c>
      <c r="J7" s="78" t="s">
        <v>27</v>
      </c>
      <c r="L7" s="356" t="s">
        <v>40</v>
      </c>
      <c r="M7" s="357"/>
      <c r="S7" s="341"/>
      <c r="T7" s="335"/>
      <c r="U7" s="337"/>
      <c r="V7" s="343"/>
    </row>
    <row r="8" spans="2:24" ht="14.45" customHeight="1" thickBot="1" x14ac:dyDescent="0.3">
      <c r="B8" s="108">
        <v>1</v>
      </c>
      <c r="C8" s="107" t="s">
        <v>0</v>
      </c>
      <c r="D8" s="80" t="s">
        <v>0</v>
      </c>
      <c r="E8" s="81" t="s">
        <v>0</v>
      </c>
      <c r="F8" s="82">
        <f t="shared" ref="F8:F38" si="0">IF(LEFT(C8,6)="Risque",IF(ISERR(SEARCH(LOWER(E8),LOWER(C8))),0.25,0.75),IF(C8=E8,1,0))</f>
        <v>1</v>
      </c>
      <c r="G8" s="83">
        <f t="shared" ref="G8:G38" si="1">IF(LEFT(D8,6)="Risque",IF(ISERR(SEARCH(LOWER(E8),LOWER(D8))),0.25,0.75),IF(D8=E8,1,0))</f>
        <v>1</v>
      </c>
      <c r="I8" s="84">
        <f t="shared" ref="I8:I38" si="2">AVERAGE(F8,F43,F78,F113)</f>
        <v>1</v>
      </c>
      <c r="J8" s="84">
        <f t="shared" ref="J8:J38" si="3">AVERAGE(G8,G43,G78,G113)</f>
        <v>1</v>
      </c>
      <c r="L8" s="85">
        <f>AVERAGE(I8:I38)</f>
        <v>1</v>
      </c>
      <c r="M8" s="27">
        <f>AVERAGE(J8:J38)</f>
        <v>1</v>
      </c>
      <c r="S8" s="79">
        <v>1</v>
      </c>
      <c r="T8" s="13" t="str">
        <f>IF(ISBLANK(Data!X44),"",Data!X44)</f>
        <v/>
      </c>
      <c r="U8" s="13" t="str">
        <f>IF(ISBLANK(Data!Y43),"",Data!Y43)</f>
        <v/>
      </c>
      <c r="V8" s="13" t="str">
        <f>IF(ISBLANK(Data!Q6),"",Data!Q6)</f>
        <v/>
      </c>
    </row>
    <row r="9" spans="2:24" ht="14.45" customHeight="1" x14ac:dyDescent="0.25">
      <c r="B9" s="109">
        <f t="shared" ref="B9:B38" si="4">B8+1</f>
        <v>2</v>
      </c>
      <c r="C9" s="107" t="s">
        <v>0</v>
      </c>
      <c r="D9" s="80" t="s">
        <v>0</v>
      </c>
      <c r="E9" s="81" t="s">
        <v>0</v>
      </c>
      <c r="F9" s="82">
        <f t="shared" si="0"/>
        <v>1</v>
      </c>
      <c r="G9" s="83">
        <f t="shared" si="1"/>
        <v>1</v>
      </c>
      <c r="I9" s="84">
        <f t="shared" si="2"/>
        <v>1</v>
      </c>
      <c r="J9" s="84">
        <f t="shared" si="3"/>
        <v>1</v>
      </c>
      <c r="S9" s="86">
        <f t="shared" ref="S9:S38" si="5">S8+1</f>
        <v>2</v>
      </c>
      <c r="T9" s="19" t="str">
        <f>IF(ISBLANK(Data!X45),"",Data!X45)</f>
        <v/>
      </c>
      <c r="U9" s="19" t="str">
        <f>IF(ISBLANK(Data!Y44),"",Data!Y44)</f>
        <v/>
      </c>
      <c r="V9" s="19" t="str">
        <f>IF(ISBLANK(Data!Q7),"",Data!Q7)</f>
        <v/>
      </c>
    </row>
    <row r="10" spans="2:24" ht="14.45" customHeight="1" x14ac:dyDescent="0.25">
      <c r="B10" s="109">
        <f t="shared" si="4"/>
        <v>3</v>
      </c>
      <c r="C10" s="107" t="s">
        <v>0</v>
      </c>
      <c r="D10" s="80" t="s">
        <v>0</v>
      </c>
      <c r="E10" s="81" t="s">
        <v>0</v>
      </c>
      <c r="F10" s="82">
        <f t="shared" si="0"/>
        <v>1</v>
      </c>
      <c r="G10" s="83">
        <f t="shared" si="1"/>
        <v>1</v>
      </c>
      <c r="I10" s="84">
        <f t="shared" si="2"/>
        <v>1</v>
      </c>
      <c r="J10" s="84">
        <f t="shared" si="3"/>
        <v>1</v>
      </c>
      <c r="S10" s="86">
        <f t="shared" si="5"/>
        <v>3</v>
      </c>
      <c r="T10" s="19" t="str">
        <f>IF(ISBLANK(Data!X46),"",Data!X46)</f>
        <v/>
      </c>
      <c r="U10" s="19" t="str">
        <f>IF(ISBLANK(Data!Y45),"",Data!Y45)</f>
        <v/>
      </c>
      <c r="V10" s="19" t="str">
        <f>IF(ISBLANK(Data!Q8),"",Data!Q8)</f>
        <v/>
      </c>
    </row>
    <row r="11" spans="2:24" ht="14.45" customHeight="1" x14ac:dyDescent="0.25">
      <c r="B11" s="109">
        <f t="shared" si="4"/>
        <v>4</v>
      </c>
      <c r="C11" s="107" t="s">
        <v>0</v>
      </c>
      <c r="D11" s="80" t="s">
        <v>0</v>
      </c>
      <c r="E11" s="81" t="s">
        <v>0</v>
      </c>
      <c r="F11" s="82">
        <f t="shared" si="0"/>
        <v>1</v>
      </c>
      <c r="G11" s="83">
        <f t="shared" si="1"/>
        <v>1</v>
      </c>
      <c r="I11" s="84">
        <f t="shared" si="2"/>
        <v>1</v>
      </c>
      <c r="J11" s="84">
        <f t="shared" si="3"/>
        <v>1</v>
      </c>
      <c r="S11" s="86">
        <f t="shared" si="5"/>
        <v>4</v>
      </c>
      <c r="T11" s="19" t="str">
        <f>IF(ISBLANK(Data!X47),"",Data!X47)</f>
        <v/>
      </c>
      <c r="U11" s="19" t="str">
        <f>IF(ISBLANK(Data!Y46),"",Data!Y46)</f>
        <v/>
      </c>
      <c r="V11" s="19" t="str">
        <f>IF(ISBLANK(Data!Q9),"",Data!Q9)</f>
        <v/>
      </c>
    </row>
    <row r="12" spans="2:24" ht="14.45" customHeight="1" x14ac:dyDescent="0.25">
      <c r="B12" s="109">
        <f t="shared" si="4"/>
        <v>5</v>
      </c>
      <c r="C12" s="107" t="s">
        <v>0</v>
      </c>
      <c r="D12" s="80" t="s">
        <v>0</v>
      </c>
      <c r="E12" s="81" t="s">
        <v>0</v>
      </c>
      <c r="F12" s="82">
        <f t="shared" si="0"/>
        <v>1</v>
      </c>
      <c r="G12" s="83">
        <f t="shared" si="1"/>
        <v>1</v>
      </c>
      <c r="I12" s="84">
        <f t="shared" si="2"/>
        <v>1</v>
      </c>
      <c r="J12" s="84">
        <f t="shared" si="3"/>
        <v>1</v>
      </c>
      <c r="S12" s="86">
        <f t="shared" si="5"/>
        <v>5</v>
      </c>
      <c r="T12" s="19" t="str">
        <f>IF(ISBLANK(Data!X48),"",Data!X48)</f>
        <v/>
      </c>
      <c r="U12" s="19" t="str">
        <f>IF(ISBLANK(Data!Y47),"",Data!Y47)</f>
        <v/>
      </c>
      <c r="V12" s="19" t="str">
        <f>IF(ISBLANK(Data!Q10),"",Data!Q10)</f>
        <v/>
      </c>
    </row>
    <row r="13" spans="2:24" ht="14.45" customHeight="1" x14ac:dyDescent="0.25">
      <c r="B13" s="109">
        <f t="shared" si="4"/>
        <v>6</v>
      </c>
      <c r="C13" s="107" t="s">
        <v>0</v>
      </c>
      <c r="D13" s="80" t="s">
        <v>0</v>
      </c>
      <c r="E13" s="81" t="s">
        <v>0</v>
      </c>
      <c r="F13" s="82">
        <f t="shared" si="0"/>
        <v>1</v>
      </c>
      <c r="G13" s="83">
        <f t="shared" si="1"/>
        <v>1</v>
      </c>
      <c r="I13" s="84">
        <f t="shared" si="2"/>
        <v>1</v>
      </c>
      <c r="J13" s="84">
        <f t="shared" si="3"/>
        <v>1</v>
      </c>
      <c r="S13" s="86">
        <f t="shared" si="5"/>
        <v>6</v>
      </c>
      <c r="T13" s="19" t="str">
        <f>IF(ISBLANK(Data!X49),"",Data!X49)</f>
        <v/>
      </c>
      <c r="U13" s="19" t="str">
        <f>IF(ISBLANK(Data!Y48),"",Data!Y48)</f>
        <v/>
      </c>
      <c r="V13" s="19" t="str">
        <f>IF(ISBLANK(Data!Q11),"",Data!Q11)</f>
        <v/>
      </c>
    </row>
    <row r="14" spans="2:24" ht="14.45" customHeight="1" x14ac:dyDescent="0.25">
      <c r="B14" s="109">
        <f t="shared" si="4"/>
        <v>7</v>
      </c>
      <c r="C14" s="107" t="s">
        <v>0</v>
      </c>
      <c r="D14" s="80" t="s">
        <v>0</v>
      </c>
      <c r="E14" s="81" t="s">
        <v>0</v>
      </c>
      <c r="F14" s="82">
        <f t="shared" si="0"/>
        <v>1</v>
      </c>
      <c r="G14" s="83">
        <f t="shared" si="1"/>
        <v>1</v>
      </c>
      <c r="I14" s="84">
        <f t="shared" si="2"/>
        <v>1</v>
      </c>
      <c r="J14" s="84">
        <f t="shared" si="3"/>
        <v>1</v>
      </c>
      <c r="S14" s="86">
        <f t="shared" si="5"/>
        <v>7</v>
      </c>
      <c r="T14" s="19" t="str">
        <f>IF(ISBLANK(Data!X50),"",Data!X50)</f>
        <v/>
      </c>
      <c r="U14" s="19" t="str">
        <f>IF(ISBLANK(Data!Y49),"",Data!Y49)</f>
        <v/>
      </c>
      <c r="V14" s="19" t="str">
        <f>IF(ISBLANK(Data!Q12),"",Data!Q12)</f>
        <v/>
      </c>
    </row>
    <row r="15" spans="2:24" ht="14.45" customHeight="1" x14ac:dyDescent="0.25">
      <c r="B15" s="109">
        <f t="shared" si="4"/>
        <v>8</v>
      </c>
      <c r="C15" s="107" t="s">
        <v>0</v>
      </c>
      <c r="D15" s="80" t="s">
        <v>0</v>
      </c>
      <c r="E15" s="81" t="s">
        <v>0</v>
      </c>
      <c r="F15" s="82">
        <f t="shared" si="0"/>
        <v>1</v>
      </c>
      <c r="G15" s="83">
        <f t="shared" si="1"/>
        <v>1</v>
      </c>
      <c r="I15" s="84">
        <f t="shared" si="2"/>
        <v>1</v>
      </c>
      <c r="J15" s="84">
        <f t="shared" si="3"/>
        <v>1</v>
      </c>
      <c r="S15" s="86">
        <f t="shared" si="5"/>
        <v>8</v>
      </c>
      <c r="T15" s="19" t="str">
        <f>IF(ISBLANK(Data!X51),"",Data!X51)</f>
        <v/>
      </c>
      <c r="U15" s="19" t="str">
        <f>IF(ISBLANK(Data!Y50),"",Data!Y50)</f>
        <v/>
      </c>
      <c r="V15" s="19" t="str">
        <f>IF(ISBLANK(Data!Q13),"",Data!Q13)</f>
        <v/>
      </c>
    </row>
    <row r="16" spans="2:24" ht="14.45" customHeight="1" x14ac:dyDescent="0.25">
      <c r="B16" s="109">
        <f t="shared" si="4"/>
        <v>9</v>
      </c>
      <c r="C16" s="107" t="s">
        <v>0</v>
      </c>
      <c r="D16" s="80" t="s">
        <v>0</v>
      </c>
      <c r="E16" s="81" t="s">
        <v>0</v>
      </c>
      <c r="F16" s="82">
        <f t="shared" si="0"/>
        <v>1</v>
      </c>
      <c r="G16" s="83">
        <f t="shared" si="1"/>
        <v>1</v>
      </c>
      <c r="I16" s="84">
        <f t="shared" si="2"/>
        <v>1</v>
      </c>
      <c r="J16" s="84">
        <f t="shared" si="3"/>
        <v>1</v>
      </c>
      <c r="S16" s="86">
        <f t="shared" si="5"/>
        <v>9</v>
      </c>
      <c r="T16" s="19" t="str">
        <f>IF(ISBLANK(Data!X52),"",Data!X52)</f>
        <v/>
      </c>
      <c r="U16" s="19" t="str">
        <f>IF(ISBLANK(Data!Y51),"",Data!Y51)</f>
        <v/>
      </c>
      <c r="V16" s="19" t="str">
        <f>IF(ISBLANK(Data!Q14),"",Data!Q14)</f>
        <v/>
      </c>
    </row>
    <row r="17" spans="2:22" ht="14.45" customHeight="1" x14ac:dyDescent="0.25">
      <c r="B17" s="109">
        <f t="shared" si="4"/>
        <v>10</v>
      </c>
      <c r="C17" s="107" t="s">
        <v>0</v>
      </c>
      <c r="D17" s="80" t="s">
        <v>0</v>
      </c>
      <c r="E17" s="81" t="s">
        <v>0</v>
      </c>
      <c r="F17" s="82">
        <f t="shared" si="0"/>
        <v>1</v>
      </c>
      <c r="G17" s="83">
        <f t="shared" si="1"/>
        <v>1</v>
      </c>
      <c r="I17" s="84">
        <f t="shared" si="2"/>
        <v>1</v>
      </c>
      <c r="J17" s="84">
        <f t="shared" si="3"/>
        <v>1</v>
      </c>
      <c r="S17" s="86">
        <f t="shared" si="5"/>
        <v>10</v>
      </c>
      <c r="T17" s="19" t="str">
        <f>IF(ISBLANK(Data!X53),"",Data!X53)</f>
        <v/>
      </c>
      <c r="U17" s="19" t="str">
        <f>IF(ISBLANK(Data!Y52),"",Data!Y52)</f>
        <v/>
      </c>
      <c r="V17" s="19" t="str">
        <f>IF(ISBLANK(Data!Q15),"",Data!Q15)</f>
        <v/>
      </c>
    </row>
    <row r="18" spans="2:22" ht="14.45" customHeight="1" x14ac:dyDescent="0.25">
      <c r="B18" s="109">
        <f t="shared" si="4"/>
        <v>11</v>
      </c>
      <c r="C18" s="107" t="s">
        <v>0</v>
      </c>
      <c r="D18" s="80" t="s">
        <v>0</v>
      </c>
      <c r="E18" s="81" t="s">
        <v>0</v>
      </c>
      <c r="F18" s="82">
        <f t="shared" si="0"/>
        <v>1</v>
      </c>
      <c r="G18" s="83">
        <f t="shared" si="1"/>
        <v>1</v>
      </c>
      <c r="I18" s="84">
        <f t="shared" si="2"/>
        <v>1</v>
      </c>
      <c r="J18" s="84">
        <f t="shared" si="3"/>
        <v>1</v>
      </c>
      <c r="S18" s="86">
        <f t="shared" si="5"/>
        <v>11</v>
      </c>
      <c r="T18" s="19" t="str">
        <f>IF(ISBLANK(Data!X54),"",Data!X54)</f>
        <v/>
      </c>
      <c r="U18" s="19" t="str">
        <f>IF(ISBLANK(Data!Y53),"",Data!Y53)</f>
        <v/>
      </c>
      <c r="V18" s="19" t="str">
        <f>IF(ISBLANK(Data!Q16),"",Data!Q16)</f>
        <v/>
      </c>
    </row>
    <row r="19" spans="2:22" ht="14.45" customHeight="1" x14ac:dyDescent="0.25">
      <c r="B19" s="109">
        <f t="shared" si="4"/>
        <v>12</v>
      </c>
      <c r="C19" s="107" t="s">
        <v>0</v>
      </c>
      <c r="D19" s="80" t="s">
        <v>0</v>
      </c>
      <c r="E19" s="81" t="s">
        <v>0</v>
      </c>
      <c r="F19" s="82">
        <f t="shared" si="0"/>
        <v>1</v>
      </c>
      <c r="G19" s="83">
        <f t="shared" si="1"/>
        <v>1</v>
      </c>
      <c r="I19" s="84">
        <f t="shared" si="2"/>
        <v>1</v>
      </c>
      <c r="J19" s="84">
        <f t="shared" si="3"/>
        <v>1</v>
      </c>
      <c r="S19" s="86">
        <f t="shared" si="5"/>
        <v>12</v>
      </c>
      <c r="T19" s="19" t="str">
        <f>IF(ISBLANK(Data!X55),"",Data!X55)</f>
        <v/>
      </c>
      <c r="U19" s="19" t="str">
        <f>IF(ISBLANK(Data!Y54),"",Data!Y54)</f>
        <v/>
      </c>
      <c r="V19" s="19" t="str">
        <f>IF(ISBLANK(Data!Q17),"",Data!Q17)</f>
        <v/>
      </c>
    </row>
    <row r="20" spans="2:22" ht="14.45" customHeight="1" x14ac:dyDescent="0.25">
      <c r="B20" s="109">
        <f t="shared" si="4"/>
        <v>13</v>
      </c>
      <c r="C20" s="107" t="s">
        <v>0</v>
      </c>
      <c r="D20" s="80" t="s">
        <v>0</v>
      </c>
      <c r="E20" s="81" t="s">
        <v>0</v>
      </c>
      <c r="F20" s="82">
        <f t="shared" si="0"/>
        <v>1</v>
      </c>
      <c r="G20" s="83">
        <f t="shared" si="1"/>
        <v>1</v>
      </c>
      <c r="I20" s="84">
        <f t="shared" si="2"/>
        <v>1</v>
      </c>
      <c r="J20" s="84">
        <f t="shared" si="3"/>
        <v>1</v>
      </c>
      <c r="S20" s="86">
        <f t="shared" si="5"/>
        <v>13</v>
      </c>
      <c r="T20" s="19" t="str">
        <f>IF(ISBLANK(Data!X56),"",Data!X56)</f>
        <v/>
      </c>
      <c r="U20" s="19" t="str">
        <f>IF(ISBLANK(Data!Y55),"",Data!Y55)</f>
        <v/>
      </c>
      <c r="V20" s="19" t="str">
        <f>IF(ISBLANK(Data!Q18),"",Data!Q18)</f>
        <v/>
      </c>
    </row>
    <row r="21" spans="2:22" ht="14.45" customHeight="1" x14ac:dyDescent="0.25">
      <c r="B21" s="109">
        <f t="shared" si="4"/>
        <v>14</v>
      </c>
      <c r="C21" s="107" t="s">
        <v>0</v>
      </c>
      <c r="D21" s="80" t="s">
        <v>0</v>
      </c>
      <c r="E21" s="81" t="s">
        <v>0</v>
      </c>
      <c r="F21" s="82">
        <f t="shared" si="0"/>
        <v>1</v>
      </c>
      <c r="G21" s="83">
        <f t="shared" si="1"/>
        <v>1</v>
      </c>
      <c r="I21" s="84">
        <f t="shared" si="2"/>
        <v>1</v>
      </c>
      <c r="J21" s="84">
        <f t="shared" si="3"/>
        <v>1</v>
      </c>
      <c r="S21" s="86">
        <f t="shared" si="5"/>
        <v>14</v>
      </c>
      <c r="T21" s="19" t="str">
        <f>IF(ISBLANK(Data!X57),"",Data!X57)</f>
        <v/>
      </c>
      <c r="U21" s="19" t="str">
        <f>IF(ISBLANK(Data!Y56),"",Data!Y56)</f>
        <v/>
      </c>
      <c r="V21" s="19" t="str">
        <f>IF(ISBLANK(Data!Q19),"",Data!Q19)</f>
        <v/>
      </c>
    </row>
    <row r="22" spans="2:22" ht="14.45" customHeight="1" x14ac:dyDescent="0.25">
      <c r="B22" s="109">
        <f t="shared" si="4"/>
        <v>15</v>
      </c>
      <c r="C22" s="107" t="s">
        <v>0</v>
      </c>
      <c r="D22" s="80" t="s">
        <v>0</v>
      </c>
      <c r="E22" s="81" t="s">
        <v>0</v>
      </c>
      <c r="F22" s="82">
        <f t="shared" si="0"/>
        <v>1</v>
      </c>
      <c r="G22" s="83">
        <f t="shared" si="1"/>
        <v>1</v>
      </c>
      <c r="I22" s="84">
        <f t="shared" si="2"/>
        <v>1</v>
      </c>
      <c r="J22" s="84">
        <f t="shared" si="3"/>
        <v>1</v>
      </c>
      <c r="S22" s="86">
        <f t="shared" si="5"/>
        <v>15</v>
      </c>
      <c r="T22" s="19" t="str">
        <f>IF(ISBLANK(Data!X58),"",Data!X58)</f>
        <v/>
      </c>
      <c r="U22" s="19" t="str">
        <f>IF(ISBLANK(Data!Y57),"",Data!Y57)</f>
        <v/>
      </c>
      <c r="V22" s="19" t="str">
        <f>IF(ISBLANK(Data!Q20),"",Data!Q20)</f>
        <v/>
      </c>
    </row>
    <row r="23" spans="2:22" ht="14.45" customHeight="1" x14ac:dyDescent="0.25">
      <c r="B23" s="109">
        <f t="shared" si="4"/>
        <v>16</v>
      </c>
      <c r="C23" s="107" t="s">
        <v>0</v>
      </c>
      <c r="D23" s="80" t="s">
        <v>0</v>
      </c>
      <c r="E23" s="81" t="s">
        <v>0</v>
      </c>
      <c r="F23" s="82">
        <f t="shared" si="0"/>
        <v>1</v>
      </c>
      <c r="G23" s="83">
        <f t="shared" si="1"/>
        <v>1</v>
      </c>
      <c r="I23" s="84">
        <f t="shared" si="2"/>
        <v>1</v>
      </c>
      <c r="J23" s="84">
        <f t="shared" si="3"/>
        <v>1</v>
      </c>
      <c r="S23" s="86">
        <f t="shared" si="5"/>
        <v>16</v>
      </c>
      <c r="T23" s="19" t="str">
        <f>IF(ISBLANK(Data!X59),"",Data!X59)</f>
        <v/>
      </c>
      <c r="U23" s="19" t="str">
        <f>IF(ISBLANK(Data!Y58),"",Data!Y58)</f>
        <v/>
      </c>
      <c r="V23" s="19" t="str">
        <f>IF(ISBLANK(Data!Q21),"",Data!Q21)</f>
        <v/>
      </c>
    </row>
    <row r="24" spans="2:22" ht="14.45" customHeight="1" x14ac:dyDescent="0.25">
      <c r="B24" s="109">
        <f t="shared" si="4"/>
        <v>17</v>
      </c>
      <c r="C24" s="107" t="s">
        <v>0</v>
      </c>
      <c r="D24" s="80" t="s">
        <v>0</v>
      </c>
      <c r="E24" s="81" t="s">
        <v>0</v>
      </c>
      <c r="F24" s="82">
        <f t="shared" si="0"/>
        <v>1</v>
      </c>
      <c r="G24" s="83">
        <f t="shared" si="1"/>
        <v>1</v>
      </c>
      <c r="I24" s="84">
        <f t="shared" si="2"/>
        <v>1</v>
      </c>
      <c r="J24" s="84">
        <f t="shared" si="3"/>
        <v>1</v>
      </c>
      <c r="S24" s="86">
        <f t="shared" si="5"/>
        <v>17</v>
      </c>
      <c r="T24" s="19" t="str">
        <f>IF(ISBLANK(Data!X60),"",Data!X60)</f>
        <v/>
      </c>
      <c r="U24" s="19" t="str">
        <f>IF(ISBLANK(Data!Y59),"",Data!Y59)</f>
        <v/>
      </c>
      <c r="V24" s="19" t="str">
        <f>IF(ISBLANK(Data!Q22),"",Data!Q22)</f>
        <v/>
      </c>
    </row>
    <row r="25" spans="2:22" ht="14.45" customHeight="1" x14ac:dyDescent="0.25">
      <c r="B25" s="109">
        <f t="shared" si="4"/>
        <v>18</v>
      </c>
      <c r="C25" s="107" t="s">
        <v>0</v>
      </c>
      <c r="D25" s="80" t="s">
        <v>0</v>
      </c>
      <c r="E25" s="81" t="s">
        <v>0</v>
      </c>
      <c r="F25" s="82">
        <f t="shared" si="0"/>
        <v>1</v>
      </c>
      <c r="G25" s="83">
        <f t="shared" si="1"/>
        <v>1</v>
      </c>
      <c r="I25" s="84">
        <f t="shared" si="2"/>
        <v>1</v>
      </c>
      <c r="J25" s="84">
        <f t="shared" si="3"/>
        <v>1</v>
      </c>
      <c r="S25" s="86">
        <f t="shared" si="5"/>
        <v>18</v>
      </c>
      <c r="T25" s="19" t="str">
        <f>IF(ISBLANK(Data!X61),"",Data!X61)</f>
        <v/>
      </c>
      <c r="U25" s="19" t="str">
        <f>IF(ISBLANK(Data!Y60),"",Data!Y60)</f>
        <v/>
      </c>
      <c r="V25" s="19" t="str">
        <f>IF(ISBLANK(Data!Q23),"",Data!Q23)</f>
        <v/>
      </c>
    </row>
    <row r="26" spans="2:22" ht="14.45" customHeight="1" x14ac:dyDescent="0.25">
      <c r="B26" s="109">
        <f t="shared" si="4"/>
        <v>19</v>
      </c>
      <c r="C26" s="107" t="s">
        <v>0</v>
      </c>
      <c r="D26" s="80" t="s">
        <v>0</v>
      </c>
      <c r="E26" s="81" t="s">
        <v>0</v>
      </c>
      <c r="F26" s="82">
        <f t="shared" si="0"/>
        <v>1</v>
      </c>
      <c r="G26" s="83">
        <f t="shared" si="1"/>
        <v>1</v>
      </c>
      <c r="I26" s="84">
        <f t="shared" si="2"/>
        <v>1</v>
      </c>
      <c r="J26" s="84">
        <f t="shared" si="3"/>
        <v>1</v>
      </c>
      <c r="S26" s="86">
        <f t="shared" si="5"/>
        <v>19</v>
      </c>
      <c r="T26" s="19" t="str">
        <f>IF(ISBLANK(Data!X62),"",Data!X62)</f>
        <v/>
      </c>
      <c r="U26" s="19" t="str">
        <f>IF(ISBLANK(Data!Y61),"",Data!Y61)</f>
        <v/>
      </c>
      <c r="V26" s="19" t="str">
        <f>IF(ISBLANK(Data!Q24),"",Data!Q24)</f>
        <v/>
      </c>
    </row>
    <row r="27" spans="2:22" ht="14.45" customHeight="1" x14ac:dyDescent="0.25">
      <c r="B27" s="109">
        <f t="shared" si="4"/>
        <v>20</v>
      </c>
      <c r="C27" s="107" t="s">
        <v>0</v>
      </c>
      <c r="D27" s="80" t="s">
        <v>0</v>
      </c>
      <c r="E27" s="81" t="s">
        <v>0</v>
      </c>
      <c r="F27" s="82">
        <f t="shared" si="0"/>
        <v>1</v>
      </c>
      <c r="G27" s="83">
        <f t="shared" si="1"/>
        <v>1</v>
      </c>
      <c r="I27" s="84">
        <f t="shared" si="2"/>
        <v>1</v>
      </c>
      <c r="J27" s="84">
        <f t="shared" si="3"/>
        <v>1</v>
      </c>
      <c r="S27" s="86">
        <f t="shared" si="5"/>
        <v>20</v>
      </c>
      <c r="T27" s="19" t="str">
        <f>IF(ISBLANK(Data!X63),"",Data!X63)</f>
        <v/>
      </c>
      <c r="U27" s="19" t="str">
        <f>IF(ISBLANK(Data!Y62),"",Data!Y62)</f>
        <v/>
      </c>
      <c r="V27" s="19" t="str">
        <f>IF(ISBLANK(Data!Q25),"",Data!Q25)</f>
        <v/>
      </c>
    </row>
    <row r="28" spans="2:22" ht="14.45" customHeight="1" x14ac:dyDescent="0.25">
      <c r="B28" s="109">
        <f t="shared" si="4"/>
        <v>21</v>
      </c>
      <c r="C28" s="107" t="s">
        <v>0</v>
      </c>
      <c r="D28" s="80" t="s">
        <v>0</v>
      </c>
      <c r="E28" s="81" t="s">
        <v>0</v>
      </c>
      <c r="F28" s="82">
        <f t="shared" si="0"/>
        <v>1</v>
      </c>
      <c r="G28" s="83">
        <f t="shared" si="1"/>
        <v>1</v>
      </c>
      <c r="I28" s="84">
        <f t="shared" si="2"/>
        <v>1</v>
      </c>
      <c r="J28" s="84">
        <f t="shared" si="3"/>
        <v>1</v>
      </c>
      <c r="S28" s="86">
        <f t="shared" si="5"/>
        <v>21</v>
      </c>
      <c r="T28" s="19" t="str">
        <f>IF(ISBLANK(Data!X64),"",Data!X64)</f>
        <v/>
      </c>
      <c r="U28" s="19" t="str">
        <f>IF(ISBLANK(Data!Y63),"",Data!Y63)</f>
        <v/>
      </c>
      <c r="V28" s="19" t="str">
        <f>IF(ISBLANK(Data!Q26),"",Data!Q26)</f>
        <v/>
      </c>
    </row>
    <row r="29" spans="2:22" ht="14.45" customHeight="1" x14ac:dyDescent="0.25">
      <c r="B29" s="109">
        <f t="shared" si="4"/>
        <v>22</v>
      </c>
      <c r="C29" s="107" t="s">
        <v>0</v>
      </c>
      <c r="D29" s="80" t="s">
        <v>0</v>
      </c>
      <c r="E29" s="81" t="s">
        <v>0</v>
      </c>
      <c r="F29" s="82">
        <f t="shared" si="0"/>
        <v>1</v>
      </c>
      <c r="G29" s="83">
        <f t="shared" si="1"/>
        <v>1</v>
      </c>
      <c r="I29" s="84">
        <f t="shared" si="2"/>
        <v>1</v>
      </c>
      <c r="J29" s="84">
        <f t="shared" si="3"/>
        <v>1</v>
      </c>
      <c r="S29" s="86">
        <f t="shared" si="5"/>
        <v>22</v>
      </c>
      <c r="T29" s="19" t="str">
        <f>IF(ISBLANK(Data!X65),"",Data!X65)</f>
        <v/>
      </c>
      <c r="U29" s="19" t="str">
        <f>IF(ISBLANK(Data!Y64),"",Data!Y64)</f>
        <v/>
      </c>
      <c r="V29" s="19" t="str">
        <f>IF(ISBLANK(Data!Q27),"",Data!Q27)</f>
        <v/>
      </c>
    </row>
    <row r="30" spans="2:22" ht="14.45" customHeight="1" x14ac:dyDescent="0.25">
      <c r="B30" s="109">
        <f t="shared" si="4"/>
        <v>23</v>
      </c>
      <c r="C30" s="107" t="s">
        <v>0</v>
      </c>
      <c r="D30" s="80" t="s">
        <v>0</v>
      </c>
      <c r="E30" s="81" t="s">
        <v>0</v>
      </c>
      <c r="F30" s="82">
        <f t="shared" si="0"/>
        <v>1</v>
      </c>
      <c r="G30" s="83">
        <f t="shared" si="1"/>
        <v>1</v>
      </c>
      <c r="I30" s="84">
        <f t="shared" si="2"/>
        <v>1</v>
      </c>
      <c r="J30" s="84">
        <f t="shared" si="3"/>
        <v>1</v>
      </c>
      <c r="S30" s="86">
        <f t="shared" si="5"/>
        <v>23</v>
      </c>
      <c r="T30" s="19" t="str">
        <f>IF(ISBLANK(Data!X66),"",Data!X66)</f>
        <v/>
      </c>
      <c r="U30" s="19" t="str">
        <f>IF(ISBLANK(Data!Y65),"",Data!Y65)</f>
        <v/>
      </c>
      <c r="V30" s="19" t="str">
        <f>IF(ISBLANK(Data!Q28),"",Data!Q28)</f>
        <v/>
      </c>
    </row>
    <row r="31" spans="2:22" ht="14.45" customHeight="1" x14ac:dyDescent="0.25">
      <c r="B31" s="109">
        <f t="shared" si="4"/>
        <v>24</v>
      </c>
      <c r="C31" s="107" t="s">
        <v>0</v>
      </c>
      <c r="D31" s="80" t="s">
        <v>0</v>
      </c>
      <c r="E31" s="81" t="s">
        <v>0</v>
      </c>
      <c r="F31" s="82">
        <f t="shared" si="0"/>
        <v>1</v>
      </c>
      <c r="G31" s="83">
        <f t="shared" si="1"/>
        <v>1</v>
      </c>
      <c r="I31" s="84">
        <f t="shared" si="2"/>
        <v>1</v>
      </c>
      <c r="J31" s="84">
        <f t="shared" si="3"/>
        <v>1</v>
      </c>
      <c r="S31" s="86">
        <f t="shared" si="5"/>
        <v>24</v>
      </c>
      <c r="T31" s="19" t="str">
        <f>IF(ISBLANK(Data!X67),"",Data!X67)</f>
        <v/>
      </c>
      <c r="U31" s="19" t="str">
        <f>IF(ISBLANK(Data!Y66),"",Data!Y66)</f>
        <v/>
      </c>
      <c r="V31" s="19" t="str">
        <f>IF(ISBLANK(Data!Q29),"",Data!Q29)</f>
        <v/>
      </c>
    </row>
    <row r="32" spans="2:22" ht="14.45" customHeight="1" x14ac:dyDescent="0.25">
      <c r="B32" s="109">
        <f t="shared" si="4"/>
        <v>25</v>
      </c>
      <c r="C32" s="107" t="s">
        <v>0</v>
      </c>
      <c r="D32" s="80" t="s">
        <v>0</v>
      </c>
      <c r="E32" s="81" t="s">
        <v>0</v>
      </c>
      <c r="F32" s="82">
        <f t="shared" si="0"/>
        <v>1</v>
      </c>
      <c r="G32" s="83">
        <f t="shared" si="1"/>
        <v>1</v>
      </c>
      <c r="I32" s="84">
        <f t="shared" si="2"/>
        <v>1</v>
      </c>
      <c r="J32" s="84">
        <f t="shared" si="3"/>
        <v>1</v>
      </c>
      <c r="S32" s="86">
        <f t="shared" si="5"/>
        <v>25</v>
      </c>
      <c r="T32" s="19" t="str">
        <f>IF(ISBLANK(Data!X68),"",Data!X68)</f>
        <v/>
      </c>
      <c r="U32" s="19" t="str">
        <f>IF(ISBLANK(Data!Y67),"",Data!Y67)</f>
        <v/>
      </c>
      <c r="V32" s="19" t="str">
        <f>IF(ISBLANK(Data!Q30),"",Data!Q30)</f>
        <v/>
      </c>
    </row>
    <row r="33" spans="2:22" ht="14.45" customHeight="1" x14ac:dyDescent="0.25">
      <c r="B33" s="109">
        <f t="shared" si="4"/>
        <v>26</v>
      </c>
      <c r="C33" s="107" t="s">
        <v>0</v>
      </c>
      <c r="D33" s="80" t="s">
        <v>0</v>
      </c>
      <c r="E33" s="81" t="s">
        <v>0</v>
      </c>
      <c r="F33" s="82">
        <f t="shared" si="0"/>
        <v>1</v>
      </c>
      <c r="G33" s="83">
        <f t="shared" si="1"/>
        <v>1</v>
      </c>
      <c r="I33" s="84">
        <f t="shared" si="2"/>
        <v>1</v>
      </c>
      <c r="J33" s="84">
        <f t="shared" si="3"/>
        <v>1</v>
      </c>
      <c r="S33" s="86">
        <f t="shared" si="5"/>
        <v>26</v>
      </c>
      <c r="T33" s="19" t="str">
        <f>IF(ISBLANK(Data!X69),"",Data!X69)</f>
        <v/>
      </c>
      <c r="U33" s="19" t="str">
        <f>IF(ISBLANK(Data!Y68),"",Data!Y68)</f>
        <v/>
      </c>
      <c r="V33" s="19" t="str">
        <f>IF(ISBLANK(Data!Q31),"",Data!Q31)</f>
        <v/>
      </c>
    </row>
    <row r="34" spans="2:22" ht="14.45" customHeight="1" x14ac:dyDescent="0.25">
      <c r="B34" s="109">
        <f t="shared" si="4"/>
        <v>27</v>
      </c>
      <c r="C34" s="107" t="s">
        <v>0</v>
      </c>
      <c r="D34" s="80" t="s">
        <v>0</v>
      </c>
      <c r="E34" s="81" t="s">
        <v>0</v>
      </c>
      <c r="F34" s="82">
        <f t="shared" si="0"/>
        <v>1</v>
      </c>
      <c r="G34" s="83">
        <f t="shared" si="1"/>
        <v>1</v>
      </c>
      <c r="I34" s="84">
        <f t="shared" si="2"/>
        <v>1</v>
      </c>
      <c r="J34" s="84">
        <f t="shared" si="3"/>
        <v>1</v>
      </c>
      <c r="S34" s="86">
        <f t="shared" si="5"/>
        <v>27</v>
      </c>
      <c r="T34" s="19" t="str">
        <f>IF(ISBLANK(Data!X70),"",Data!X70)</f>
        <v/>
      </c>
      <c r="U34" s="19" t="str">
        <f>IF(ISBLANK(Data!Y69),"",Data!Y69)</f>
        <v/>
      </c>
      <c r="V34" s="19" t="str">
        <f>IF(ISBLANK(Data!Q32),"",Data!Q32)</f>
        <v/>
      </c>
    </row>
    <row r="35" spans="2:22" ht="14.45" customHeight="1" x14ac:dyDescent="0.25">
      <c r="B35" s="109">
        <f t="shared" si="4"/>
        <v>28</v>
      </c>
      <c r="C35" s="107" t="s">
        <v>0</v>
      </c>
      <c r="D35" s="80" t="s">
        <v>0</v>
      </c>
      <c r="E35" s="81" t="s">
        <v>0</v>
      </c>
      <c r="F35" s="82">
        <f t="shared" si="0"/>
        <v>1</v>
      </c>
      <c r="G35" s="83">
        <f t="shared" si="1"/>
        <v>1</v>
      </c>
      <c r="I35" s="84">
        <f t="shared" si="2"/>
        <v>1</v>
      </c>
      <c r="J35" s="84">
        <f t="shared" si="3"/>
        <v>1</v>
      </c>
      <c r="S35" s="86">
        <f t="shared" si="5"/>
        <v>28</v>
      </c>
      <c r="T35" s="19" t="str">
        <f>IF(ISBLANK(Data!X71),"",Data!X71)</f>
        <v/>
      </c>
      <c r="U35" s="19" t="str">
        <f>IF(ISBLANK(Data!Y70),"",Data!Y70)</f>
        <v/>
      </c>
      <c r="V35" s="19" t="str">
        <f>IF(ISBLANK(Data!Q33),"",Data!Q33)</f>
        <v/>
      </c>
    </row>
    <row r="36" spans="2:22" ht="14.45" customHeight="1" x14ac:dyDescent="0.25">
      <c r="B36" s="109">
        <f t="shared" si="4"/>
        <v>29</v>
      </c>
      <c r="C36" s="107" t="s">
        <v>0</v>
      </c>
      <c r="D36" s="80" t="s">
        <v>0</v>
      </c>
      <c r="E36" s="81" t="s">
        <v>0</v>
      </c>
      <c r="F36" s="82">
        <f t="shared" si="0"/>
        <v>1</v>
      </c>
      <c r="G36" s="83">
        <f t="shared" si="1"/>
        <v>1</v>
      </c>
      <c r="I36" s="84">
        <f t="shared" si="2"/>
        <v>1</v>
      </c>
      <c r="J36" s="84">
        <f t="shared" si="3"/>
        <v>1</v>
      </c>
      <c r="S36" s="86">
        <f t="shared" si="5"/>
        <v>29</v>
      </c>
      <c r="T36" s="19" t="str">
        <f>IF(ISBLANK(Data!X72),"",Data!X72)</f>
        <v/>
      </c>
      <c r="U36" s="19" t="str">
        <f>IF(ISBLANK(Data!Y71),"",Data!Y71)</f>
        <v/>
      </c>
      <c r="V36" s="19" t="str">
        <f>IF(ISBLANK(Data!Q34),"",Data!Q34)</f>
        <v/>
      </c>
    </row>
    <row r="37" spans="2:22" ht="14.45" customHeight="1" x14ac:dyDescent="0.25">
      <c r="B37" s="109">
        <f t="shared" si="4"/>
        <v>30</v>
      </c>
      <c r="C37" s="107" t="s">
        <v>0</v>
      </c>
      <c r="D37" s="80" t="s">
        <v>0</v>
      </c>
      <c r="E37" s="81" t="s">
        <v>0</v>
      </c>
      <c r="F37" s="82">
        <f t="shared" si="0"/>
        <v>1</v>
      </c>
      <c r="G37" s="83">
        <f t="shared" si="1"/>
        <v>1</v>
      </c>
      <c r="I37" s="84">
        <f t="shared" si="2"/>
        <v>1</v>
      </c>
      <c r="J37" s="84">
        <f t="shared" si="3"/>
        <v>1</v>
      </c>
      <c r="S37" s="86">
        <f t="shared" si="5"/>
        <v>30</v>
      </c>
      <c r="T37" s="19" t="str">
        <f>IF(ISBLANK(Data!X73),"",Data!X73)</f>
        <v/>
      </c>
      <c r="U37" s="19" t="str">
        <f>IF(ISBLANK(Data!Y72),"",Data!Y72)</f>
        <v/>
      </c>
      <c r="V37" s="19" t="str">
        <f>IF(ISBLANK(Data!Q35),"",Data!Q35)</f>
        <v/>
      </c>
    </row>
    <row r="38" spans="2:22" ht="14.45" customHeight="1" thickBot="1" x14ac:dyDescent="0.3">
      <c r="B38" s="111">
        <f t="shared" si="4"/>
        <v>31</v>
      </c>
      <c r="C38" s="112" t="s">
        <v>0</v>
      </c>
      <c r="D38" s="113" t="s">
        <v>0</v>
      </c>
      <c r="E38" s="114" t="s">
        <v>0</v>
      </c>
      <c r="F38" s="115">
        <f t="shared" si="0"/>
        <v>1</v>
      </c>
      <c r="G38" s="116">
        <f t="shared" si="1"/>
        <v>1</v>
      </c>
      <c r="I38" s="84">
        <f t="shared" si="2"/>
        <v>1</v>
      </c>
      <c r="J38" s="84">
        <f t="shared" si="3"/>
        <v>1</v>
      </c>
      <c r="S38" s="87">
        <f t="shared" si="5"/>
        <v>31</v>
      </c>
      <c r="T38" s="24" t="str">
        <f>IF(ISBLANK(Data!X74),"",Data!X74)</f>
        <v/>
      </c>
      <c r="U38" s="24" t="str">
        <f>IF(ISBLANK(Data!Y73),"",Data!Y73)</f>
        <v/>
      </c>
      <c r="V38" s="24" t="str">
        <f>IF(ISBLANK(Data!Q36),"",Data!Q36)</f>
        <v/>
      </c>
    </row>
    <row r="39" spans="2:22" ht="14.1" customHeight="1" thickBot="1" x14ac:dyDescent="0.3">
      <c r="B39" s="353"/>
      <c r="C39" s="354"/>
      <c r="D39" s="354"/>
      <c r="E39" s="354"/>
      <c r="F39" s="354"/>
      <c r="G39" s="355"/>
      <c r="T39" s="90"/>
      <c r="U39" s="90"/>
      <c r="V39" s="90"/>
    </row>
    <row r="40" spans="2:22" s="7" customFormat="1" ht="20.100000000000001" customHeight="1" thickBot="1" x14ac:dyDescent="0.3">
      <c r="B40" s="346" t="s">
        <v>5</v>
      </c>
      <c r="C40" s="349" t="s">
        <v>76</v>
      </c>
      <c r="D40" s="350"/>
      <c r="E40" s="350"/>
      <c r="F40" s="350"/>
      <c r="G40" s="351"/>
    </row>
    <row r="41" spans="2:22" s="7" customFormat="1" ht="20.100000000000001" customHeight="1" thickBot="1" x14ac:dyDescent="0.3">
      <c r="B41" s="347"/>
      <c r="C41" s="338" t="s">
        <v>50</v>
      </c>
      <c r="D41" s="352"/>
      <c r="E41" s="218" t="s">
        <v>42</v>
      </c>
      <c r="F41" s="338" t="s">
        <v>49</v>
      </c>
      <c r="G41" s="339"/>
    </row>
    <row r="42" spans="2:22" s="7" customFormat="1" ht="20.100000000000001" customHeight="1" x14ac:dyDescent="0.25">
      <c r="B42" s="348"/>
      <c r="C42" s="91" t="s">
        <v>48</v>
      </c>
      <c r="D42" s="92" t="s">
        <v>47</v>
      </c>
      <c r="E42" s="93" t="s">
        <v>46</v>
      </c>
      <c r="F42" s="94" t="s">
        <v>33</v>
      </c>
      <c r="G42" s="95" t="s">
        <v>27</v>
      </c>
    </row>
    <row r="43" spans="2:22" ht="14.45" customHeight="1" x14ac:dyDescent="0.25">
      <c r="B43" s="108">
        <v>1</v>
      </c>
      <c r="C43" s="45" t="str">
        <f>+IF(AI102,"Néant","Néant")</f>
        <v>Néant</v>
      </c>
      <c r="D43" s="96" t="str">
        <f t="shared" ref="D43:D73" si="6">+IF(AI102,"Néant","Néant")</f>
        <v>Néant</v>
      </c>
      <c r="E43" s="97" t="str">
        <f t="shared" ref="E43:E73" si="7">+IF(AI102,"Néant","Néant")</f>
        <v>Néant</v>
      </c>
      <c r="F43" s="82">
        <f t="shared" ref="F43:F73" si="8">IF(LEFT(C43,6)="Risque",IF(ISERR(SEARCH(LOWER(E43),LOWER(C43))),0.25,0.75),IF(C43=E43,1,0))</f>
        <v>1</v>
      </c>
      <c r="G43" s="83">
        <f t="shared" ref="G43:G73" si="9">IF(LEFT(D43,6)="Risque",IF(ISERR(SEARCH(LOWER(E43),LOWER(D43))),0.25,0.75),IF(D43=E43,1,0))</f>
        <v>1</v>
      </c>
    </row>
    <row r="44" spans="2:22" ht="14.45" customHeight="1" x14ac:dyDescent="0.25">
      <c r="B44" s="109">
        <f t="shared" ref="B44:B73" si="10">B43+1</f>
        <v>2</v>
      </c>
      <c r="C44" s="45" t="str">
        <f t="shared" ref="C44:C73" si="11">+IF(AI103,"Néant","Néant")</f>
        <v>Néant</v>
      </c>
      <c r="D44" s="96" t="str">
        <f t="shared" si="6"/>
        <v>Néant</v>
      </c>
      <c r="E44" s="97" t="str">
        <f t="shared" si="7"/>
        <v>Néant</v>
      </c>
      <c r="F44" s="82">
        <f t="shared" si="8"/>
        <v>1</v>
      </c>
      <c r="G44" s="83">
        <f t="shared" si="9"/>
        <v>1</v>
      </c>
    </row>
    <row r="45" spans="2:22" ht="14.45" customHeight="1" x14ac:dyDescent="0.25">
      <c r="B45" s="109">
        <f t="shared" si="10"/>
        <v>3</v>
      </c>
      <c r="C45" s="45" t="str">
        <f t="shared" si="11"/>
        <v>Néant</v>
      </c>
      <c r="D45" s="96" t="str">
        <f t="shared" si="6"/>
        <v>Néant</v>
      </c>
      <c r="E45" s="97" t="str">
        <f t="shared" si="7"/>
        <v>Néant</v>
      </c>
      <c r="F45" s="82">
        <f t="shared" si="8"/>
        <v>1</v>
      </c>
      <c r="G45" s="83">
        <f t="shared" si="9"/>
        <v>1</v>
      </c>
    </row>
    <row r="46" spans="2:22" ht="14.45" customHeight="1" x14ac:dyDescent="0.25">
      <c r="B46" s="109">
        <f t="shared" si="10"/>
        <v>4</v>
      </c>
      <c r="C46" s="45" t="str">
        <f t="shared" si="11"/>
        <v>Néant</v>
      </c>
      <c r="D46" s="96" t="str">
        <f t="shared" si="6"/>
        <v>Néant</v>
      </c>
      <c r="E46" s="97" t="str">
        <f t="shared" si="7"/>
        <v>Néant</v>
      </c>
      <c r="F46" s="82">
        <f t="shared" si="8"/>
        <v>1</v>
      </c>
      <c r="G46" s="83">
        <f t="shared" si="9"/>
        <v>1</v>
      </c>
    </row>
    <row r="47" spans="2:22" ht="14.45" customHeight="1" x14ac:dyDescent="0.25">
      <c r="B47" s="109">
        <f t="shared" si="10"/>
        <v>5</v>
      </c>
      <c r="C47" s="45" t="str">
        <f t="shared" si="11"/>
        <v>Néant</v>
      </c>
      <c r="D47" s="96" t="str">
        <f t="shared" si="6"/>
        <v>Néant</v>
      </c>
      <c r="E47" s="97" t="str">
        <f t="shared" si="7"/>
        <v>Néant</v>
      </c>
      <c r="F47" s="82">
        <f t="shared" si="8"/>
        <v>1</v>
      </c>
      <c r="G47" s="83">
        <f t="shared" si="9"/>
        <v>1</v>
      </c>
    </row>
    <row r="48" spans="2:22" ht="14.45" customHeight="1" x14ac:dyDescent="0.25">
      <c r="B48" s="109">
        <f t="shared" si="10"/>
        <v>6</v>
      </c>
      <c r="C48" s="45" t="str">
        <f t="shared" si="11"/>
        <v>Néant</v>
      </c>
      <c r="D48" s="96" t="str">
        <f t="shared" si="6"/>
        <v>Néant</v>
      </c>
      <c r="E48" s="97" t="str">
        <f t="shared" si="7"/>
        <v>Néant</v>
      </c>
      <c r="F48" s="82">
        <f t="shared" si="8"/>
        <v>1</v>
      </c>
      <c r="G48" s="83">
        <f t="shared" si="9"/>
        <v>1</v>
      </c>
    </row>
    <row r="49" spans="2:7" ht="14.45" customHeight="1" x14ac:dyDescent="0.25">
      <c r="B49" s="109">
        <f t="shared" si="10"/>
        <v>7</v>
      </c>
      <c r="C49" s="45" t="str">
        <f t="shared" si="11"/>
        <v>Néant</v>
      </c>
      <c r="D49" s="96" t="str">
        <f t="shared" si="6"/>
        <v>Néant</v>
      </c>
      <c r="E49" s="97" t="str">
        <f t="shared" si="7"/>
        <v>Néant</v>
      </c>
      <c r="F49" s="82">
        <f t="shared" si="8"/>
        <v>1</v>
      </c>
      <c r="G49" s="83">
        <f t="shared" si="9"/>
        <v>1</v>
      </c>
    </row>
    <row r="50" spans="2:7" ht="14.45" customHeight="1" x14ac:dyDescent="0.25">
      <c r="B50" s="109">
        <f t="shared" si="10"/>
        <v>8</v>
      </c>
      <c r="C50" s="45" t="str">
        <f t="shared" si="11"/>
        <v>Néant</v>
      </c>
      <c r="D50" s="96" t="str">
        <f t="shared" si="6"/>
        <v>Néant</v>
      </c>
      <c r="E50" s="97" t="str">
        <f t="shared" si="7"/>
        <v>Néant</v>
      </c>
      <c r="F50" s="82">
        <f t="shared" si="8"/>
        <v>1</v>
      </c>
      <c r="G50" s="83">
        <f t="shared" si="9"/>
        <v>1</v>
      </c>
    </row>
    <row r="51" spans="2:7" ht="14.45" customHeight="1" x14ac:dyDescent="0.25">
      <c r="B51" s="109">
        <f t="shared" si="10"/>
        <v>9</v>
      </c>
      <c r="C51" s="45" t="str">
        <f t="shared" si="11"/>
        <v>Néant</v>
      </c>
      <c r="D51" s="96" t="str">
        <f t="shared" si="6"/>
        <v>Néant</v>
      </c>
      <c r="E51" s="97" t="str">
        <f t="shared" si="7"/>
        <v>Néant</v>
      </c>
      <c r="F51" s="82">
        <f t="shared" si="8"/>
        <v>1</v>
      </c>
      <c r="G51" s="83">
        <f t="shared" si="9"/>
        <v>1</v>
      </c>
    </row>
    <row r="52" spans="2:7" ht="14.45" customHeight="1" x14ac:dyDescent="0.25">
      <c r="B52" s="109">
        <f t="shared" si="10"/>
        <v>10</v>
      </c>
      <c r="C52" s="45" t="str">
        <f t="shared" si="11"/>
        <v>Néant</v>
      </c>
      <c r="D52" s="96" t="str">
        <f t="shared" si="6"/>
        <v>Néant</v>
      </c>
      <c r="E52" s="97" t="str">
        <f t="shared" si="7"/>
        <v>Néant</v>
      </c>
      <c r="F52" s="82">
        <f t="shared" si="8"/>
        <v>1</v>
      </c>
      <c r="G52" s="83">
        <f t="shared" si="9"/>
        <v>1</v>
      </c>
    </row>
    <row r="53" spans="2:7" ht="14.45" customHeight="1" x14ac:dyDescent="0.25">
      <c r="B53" s="109">
        <f t="shared" si="10"/>
        <v>11</v>
      </c>
      <c r="C53" s="45" t="str">
        <f t="shared" si="11"/>
        <v>Néant</v>
      </c>
      <c r="D53" s="96" t="str">
        <f t="shared" si="6"/>
        <v>Néant</v>
      </c>
      <c r="E53" s="97" t="str">
        <f t="shared" si="7"/>
        <v>Néant</v>
      </c>
      <c r="F53" s="82">
        <f t="shared" si="8"/>
        <v>1</v>
      </c>
      <c r="G53" s="83">
        <f t="shared" si="9"/>
        <v>1</v>
      </c>
    </row>
    <row r="54" spans="2:7" ht="14.45" customHeight="1" x14ac:dyDescent="0.25">
      <c r="B54" s="109">
        <f t="shared" si="10"/>
        <v>12</v>
      </c>
      <c r="C54" s="45" t="str">
        <f t="shared" si="11"/>
        <v>Néant</v>
      </c>
      <c r="D54" s="96" t="str">
        <f t="shared" si="6"/>
        <v>Néant</v>
      </c>
      <c r="E54" s="97" t="str">
        <f t="shared" si="7"/>
        <v>Néant</v>
      </c>
      <c r="F54" s="82">
        <f t="shared" si="8"/>
        <v>1</v>
      </c>
      <c r="G54" s="83">
        <f t="shared" si="9"/>
        <v>1</v>
      </c>
    </row>
    <row r="55" spans="2:7" ht="14.45" customHeight="1" x14ac:dyDescent="0.25">
      <c r="B55" s="109">
        <f t="shared" si="10"/>
        <v>13</v>
      </c>
      <c r="C55" s="45" t="str">
        <f t="shared" si="11"/>
        <v>Néant</v>
      </c>
      <c r="D55" s="96" t="str">
        <f t="shared" si="6"/>
        <v>Néant</v>
      </c>
      <c r="E55" s="97" t="str">
        <f t="shared" si="7"/>
        <v>Néant</v>
      </c>
      <c r="F55" s="82">
        <f t="shared" si="8"/>
        <v>1</v>
      </c>
      <c r="G55" s="83">
        <f t="shared" si="9"/>
        <v>1</v>
      </c>
    </row>
    <row r="56" spans="2:7" ht="14.45" customHeight="1" x14ac:dyDescent="0.25">
      <c r="B56" s="109">
        <f t="shared" si="10"/>
        <v>14</v>
      </c>
      <c r="C56" s="45" t="str">
        <f t="shared" si="11"/>
        <v>Néant</v>
      </c>
      <c r="D56" s="96" t="str">
        <f t="shared" si="6"/>
        <v>Néant</v>
      </c>
      <c r="E56" s="97" t="str">
        <f t="shared" si="7"/>
        <v>Néant</v>
      </c>
      <c r="F56" s="82">
        <f t="shared" si="8"/>
        <v>1</v>
      </c>
      <c r="G56" s="83">
        <f t="shared" si="9"/>
        <v>1</v>
      </c>
    </row>
    <row r="57" spans="2:7" ht="14.45" customHeight="1" x14ac:dyDescent="0.25">
      <c r="B57" s="109">
        <f t="shared" si="10"/>
        <v>15</v>
      </c>
      <c r="C57" s="45" t="str">
        <f t="shared" si="11"/>
        <v>Néant</v>
      </c>
      <c r="D57" s="96" t="str">
        <f t="shared" si="6"/>
        <v>Néant</v>
      </c>
      <c r="E57" s="97" t="str">
        <f t="shared" si="7"/>
        <v>Néant</v>
      </c>
      <c r="F57" s="82">
        <f t="shared" si="8"/>
        <v>1</v>
      </c>
      <c r="G57" s="83">
        <f t="shared" si="9"/>
        <v>1</v>
      </c>
    </row>
    <row r="58" spans="2:7" ht="14.45" customHeight="1" x14ac:dyDescent="0.25">
      <c r="B58" s="109">
        <f t="shared" si="10"/>
        <v>16</v>
      </c>
      <c r="C58" s="45" t="str">
        <f t="shared" si="11"/>
        <v>Néant</v>
      </c>
      <c r="D58" s="96" t="str">
        <f t="shared" si="6"/>
        <v>Néant</v>
      </c>
      <c r="E58" s="97" t="str">
        <f t="shared" si="7"/>
        <v>Néant</v>
      </c>
      <c r="F58" s="82">
        <f t="shared" si="8"/>
        <v>1</v>
      </c>
      <c r="G58" s="83">
        <f t="shared" si="9"/>
        <v>1</v>
      </c>
    </row>
    <row r="59" spans="2:7" ht="14.45" customHeight="1" x14ac:dyDescent="0.25">
      <c r="B59" s="109">
        <f t="shared" si="10"/>
        <v>17</v>
      </c>
      <c r="C59" s="45" t="str">
        <f t="shared" si="11"/>
        <v>Néant</v>
      </c>
      <c r="D59" s="96" t="str">
        <f t="shared" si="6"/>
        <v>Néant</v>
      </c>
      <c r="E59" s="97" t="str">
        <f t="shared" si="7"/>
        <v>Néant</v>
      </c>
      <c r="F59" s="82">
        <f t="shared" si="8"/>
        <v>1</v>
      </c>
      <c r="G59" s="83">
        <f t="shared" si="9"/>
        <v>1</v>
      </c>
    </row>
    <row r="60" spans="2:7" ht="14.45" customHeight="1" x14ac:dyDescent="0.25">
      <c r="B60" s="109">
        <f t="shared" si="10"/>
        <v>18</v>
      </c>
      <c r="C60" s="45" t="str">
        <f t="shared" si="11"/>
        <v>Néant</v>
      </c>
      <c r="D60" s="96" t="str">
        <f t="shared" si="6"/>
        <v>Néant</v>
      </c>
      <c r="E60" s="97" t="str">
        <f t="shared" si="7"/>
        <v>Néant</v>
      </c>
      <c r="F60" s="82">
        <f t="shared" si="8"/>
        <v>1</v>
      </c>
      <c r="G60" s="83">
        <f t="shared" si="9"/>
        <v>1</v>
      </c>
    </row>
    <row r="61" spans="2:7" ht="14.45" customHeight="1" x14ac:dyDescent="0.25">
      <c r="B61" s="109">
        <f t="shared" si="10"/>
        <v>19</v>
      </c>
      <c r="C61" s="45" t="str">
        <f t="shared" si="11"/>
        <v>Néant</v>
      </c>
      <c r="D61" s="96" t="str">
        <f t="shared" si="6"/>
        <v>Néant</v>
      </c>
      <c r="E61" s="97" t="str">
        <f t="shared" si="7"/>
        <v>Néant</v>
      </c>
      <c r="F61" s="82">
        <f t="shared" si="8"/>
        <v>1</v>
      </c>
      <c r="G61" s="83">
        <f t="shared" si="9"/>
        <v>1</v>
      </c>
    </row>
    <row r="62" spans="2:7" ht="14.45" customHeight="1" x14ac:dyDescent="0.25">
      <c r="B62" s="109">
        <f t="shared" si="10"/>
        <v>20</v>
      </c>
      <c r="C62" s="45" t="str">
        <f t="shared" si="11"/>
        <v>Néant</v>
      </c>
      <c r="D62" s="96" t="str">
        <f t="shared" si="6"/>
        <v>Néant</v>
      </c>
      <c r="E62" s="97" t="str">
        <f t="shared" si="7"/>
        <v>Néant</v>
      </c>
      <c r="F62" s="82">
        <f t="shared" si="8"/>
        <v>1</v>
      </c>
      <c r="G62" s="83">
        <f t="shared" si="9"/>
        <v>1</v>
      </c>
    </row>
    <row r="63" spans="2:7" ht="14.45" customHeight="1" x14ac:dyDescent="0.25">
      <c r="B63" s="109">
        <f t="shared" si="10"/>
        <v>21</v>
      </c>
      <c r="C63" s="45" t="str">
        <f t="shared" si="11"/>
        <v>Néant</v>
      </c>
      <c r="D63" s="96" t="str">
        <f t="shared" si="6"/>
        <v>Néant</v>
      </c>
      <c r="E63" s="97" t="str">
        <f t="shared" si="7"/>
        <v>Néant</v>
      </c>
      <c r="F63" s="82">
        <f t="shared" si="8"/>
        <v>1</v>
      </c>
      <c r="G63" s="83">
        <f t="shared" si="9"/>
        <v>1</v>
      </c>
    </row>
    <row r="64" spans="2:7" ht="14.45" customHeight="1" x14ac:dyDescent="0.25">
      <c r="B64" s="109">
        <f t="shared" si="10"/>
        <v>22</v>
      </c>
      <c r="C64" s="45" t="str">
        <f t="shared" si="11"/>
        <v>Néant</v>
      </c>
      <c r="D64" s="96" t="str">
        <f t="shared" si="6"/>
        <v>Néant</v>
      </c>
      <c r="E64" s="97" t="str">
        <f t="shared" si="7"/>
        <v>Néant</v>
      </c>
      <c r="F64" s="82">
        <f t="shared" si="8"/>
        <v>1</v>
      </c>
      <c r="G64" s="83">
        <f t="shared" si="9"/>
        <v>1</v>
      </c>
    </row>
    <row r="65" spans="2:37" ht="14.45" customHeight="1" x14ac:dyDescent="0.25">
      <c r="B65" s="109">
        <f t="shared" si="10"/>
        <v>23</v>
      </c>
      <c r="C65" s="45" t="str">
        <f t="shared" si="11"/>
        <v>Néant</v>
      </c>
      <c r="D65" s="96" t="str">
        <f t="shared" si="6"/>
        <v>Néant</v>
      </c>
      <c r="E65" s="97" t="str">
        <f t="shared" si="7"/>
        <v>Néant</v>
      </c>
      <c r="F65" s="82">
        <f t="shared" si="8"/>
        <v>1</v>
      </c>
      <c r="G65" s="83">
        <f t="shared" si="9"/>
        <v>1</v>
      </c>
    </row>
    <row r="66" spans="2:37" ht="14.45" customHeight="1" thickBot="1" x14ac:dyDescent="0.3">
      <c r="B66" s="109">
        <f t="shared" si="10"/>
        <v>24</v>
      </c>
      <c r="C66" s="45" t="str">
        <f t="shared" si="11"/>
        <v>Néant</v>
      </c>
      <c r="D66" s="96" t="str">
        <f t="shared" si="6"/>
        <v>Néant</v>
      </c>
      <c r="E66" s="97" t="str">
        <f t="shared" si="7"/>
        <v>Néant</v>
      </c>
      <c r="F66" s="82">
        <f t="shared" si="8"/>
        <v>1</v>
      </c>
      <c r="G66" s="83">
        <f t="shared" si="9"/>
        <v>1</v>
      </c>
    </row>
    <row r="67" spans="2:37" ht="14.45" customHeight="1" thickBot="1" x14ac:dyDescent="0.3">
      <c r="B67" s="109">
        <f t="shared" si="10"/>
        <v>25</v>
      </c>
      <c r="C67" s="45" t="str">
        <f t="shared" si="11"/>
        <v>Néant</v>
      </c>
      <c r="D67" s="96" t="str">
        <f t="shared" si="6"/>
        <v>Néant</v>
      </c>
      <c r="E67" s="97" t="str">
        <f t="shared" si="7"/>
        <v>Néant</v>
      </c>
      <c r="F67" s="82">
        <f t="shared" si="8"/>
        <v>1</v>
      </c>
      <c r="G67" s="83">
        <f t="shared" si="9"/>
        <v>1</v>
      </c>
      <c r="AJ67" s="98" t="s">
        <v>75</v>
      </c>
      <c r="AK67" s="99" t="s">
        <v>74</v>
      </c>
    </row>
    <row r="68" spans="2:37" ht="14.45" customHeight="1" x14ac:dyDescent="0.25">
      <c r="B68" s="109">
        <f t="shared" si="10"/>
        <v>26</v>
      </c>
      <c r="C68" s="45" t="str">
        <f t="shared" si="11"/>
        <v>Néant</v>
      </c>
      <c r="D68" s="96" t="str">
        <f t="shared" si="6"/>
        <v>Néant</v>
      </c>
      <c r="E68" s="97" t="str">
        <f t="shared" si="7"/>
        <v>Néant</v>
      </c>
      <c r="F68" s="82">
        <f t="shared" si="8"/>
        <v>1</v>
      </c>
      <c r="G68" s="83">
        <f t="shared" si="9"/>
        <v>1</v>
      </c>
      <c r="AJ68" s="100" t="s">
        <v>0</v>
      </c>
      <c r="AK68" s="101" t="s">
        <v>0</v>
      </c>
    </row>
    <row r="69" spans="2:37" ht="14.45" customHeight="1" x14ac:dyDescent="0.25">
      <c r="B69" s="109">
        <f t="shared" si="10"/>
        <v>27</v>
      </c>
      <c r="C69" s="45" t="str">
        <f t="shared" si="11"/>
        <v>Néant</v>
      </c>
      <c r="D69" s="96" t="str">
        <f t="shared" si="6"/>
        <v>Néant</v>
      </c>
      <c r="E69" s="97" t="str">
        <f t="shared" si="7"/>
        <v>Néant</v>
      </c>
      <c r="F69" s="82">
        <f t="shared" si="8"/>
        <v>1</v>
      </c>
      <c r="G69" s="83">
        <f t="shared" si="9"/>
        <v>1</v>
      </c>
      <c r="AJ69" s="102" t="s">
        <v>2</v>
      </c>
      <c r="AK69" s="103" t="s">
        <v>2</v>
      </c>
    </row>
    <row r="70" spans="2:37" ht="14.45" customHeight="1" x14ac:dyDescent="0.25">
      <c r="B70" s="109">
        <f t="shared" si="10"/>
        <v>28</v>
      </c>
      <c r="C70" s="45" t="str">
        <f t="shared" si="11"/>
        <v>Néant</v>
      </c>
      <c r="D70" s="96" t="str">
        <f t="shared" si="6"/>
        <v>Néant</v>
      </c>
      <c r="E70" s="97" t="str">
        <f t="shared" si="7"/>
        <v>Néant</v>
      </c>
      <c r="F70" s="82">
        <f t="shared" si="8"/>
        <v>1</v>
      </c>
      <c r="G70" s="83">
        <f t="shared" si="9"/>
        <v>1</v>
      </c>
      <c r="AJ70" s="102" t="s">
        <v>73</v>
      </c>
      <c r="AK70" s="103" t="s">
        <v>72</v>
      </c>
    </row>
    <row r="71" spans="2:37" ht="14.45" customHeight="1" x14ac:dyDescent="0.25">
      <c r="B71" s="109">
        <f t="shared" si="10"/>
        <v>29</v>
      </c>
      <c r="C71" s="45" t="str">
        <f t="shared" si="11"/>
        <v>Néant</v>
      </c>
      <c r="D71" s="96" t="str">
        <f t="shared" si="6"/>
        <v>Néant</v>
      </c>
      <c r="E71" s="97" t="str">
        <f t="shared" si="7"/>
        <v>Néant</v>
      </c>
      <c r="F71" s="82">
        <f t="shared" si="8"/>
        <v>1</v>
      </c>
      <c r="G71" s="83">
        <f t="shared" si="9"/>
        <v>1</v>
      </c>
      <c r="AJ71" s="102" t="s">
        <v>72</v>
      </c>
      <c r="AK71" s="103" t="s">
        <v>70</v>
      </c>
    </row>
    <row r="72" spans="2:37" ht="14.45" customHeight="1" x14ac:dyDescent="0.25">
      <c r="B72" s="109">
        <f t="shared" si="10"/>
        <v>30</v>
      </c>
      <c r="C72" s="45" t="str">
        <f t="shared" si="11"/>
        <v>Néant</v>
      </c>
      <c r="D72" s="96" t="str">
        <f t="shared" si="6"/>
        <v>Néant</v>
      </c>
      <c r="E72" s="97" t="str">
        <f t="shared" si="7"/>
        <v>Néant</v>
      </c>
      <c r="F72" s="82">
        <f t="shared" si="8"/>
        <v>1</v>
      </c>
      <c r="G72" s="83">
        <f t="shared" si="9"/>
        <v>1</v>
      </c>
      <c r="AJ72" s="102" t="s">
        <v>71</v>
      </c>
      <c r="AK72" s="103" t="s">
        <v>67</v>
      </c>
    </row>
    <row r="73" spans="2:37" ht="14.45" customHeight="1" thickBot="1" x14ac:dyDescent="0.3">
      <c r="B73" s="111">
        <f t="shared" si="10"/>
        <v>31</v>
      </c>
      <c r="C73" s="117" t="str">
        <f t="shared" si="11"/>
        <v>Néant</v>
      </c>
      <c r="D73" s="118" t="str">
        <f t="shared" si="6"/>
        <v>Néant</v>
      </c>
      <c r="E73" s="119" t="str">
        <f t="shared" si="7"/>
        <v>Néant</v>
      </c>
      <c r="F73" s="115">
        <f t="shared" si="8"/>
        <v>1</v>
      </c>
      <c r="G73" s="116">
        <f t="shared" si="9"/>
        <v>1</v>
      </c>
      <c r="AJ73" s="102" t="s">
        <v>70</v>
      </c>
      <c r="AK73" s="103" t="s">
        <v>65</v>
      </c>
    </row>
    <row r="74" spans="2:37" ht="14.1" customHeight="1" thickBot="1" x14ac:dyDescent="0.3">
      <c r="B74" s="353"/>
      <c r="C74" s="354"/>
      <c r="D74" s="354"/>
      <c r="E74" s="354"/>
      <c r="F74" s="354"/>
      <c r="G74" s="355"/>
      <c r="AJ74" s="102" t="s">
        <v>69</v>
      </c>
      <c r="AK74" s="103" t="s">
        <v>63</v>
      </c>
    </row>
    <row r="75" spans="2:37" s="7" customFormat="1" ht="20.100000000000001" customHeight="1" thickBot="1" x14ac:dyDescent="0.3">
      <c r="B75" s="346" t="s">
        <v>5</v>
      </c>
      <c r="C75" s="349" t="s">
        <v>68</v>
      </c>
      <c r="D75" s="350"/>
      <c r="E75" s="350"/>
      <c r="F75" s="350"/>
      <c r="G75" s="351"/>
      <c r="AJ75" s="219" t="s">
        <v>67</v>
      </c>
      <c r="AK75" s="220" t="s">
        <v>3</v>
      </c>
    </row>
    <row r="76" spans="2:37" s="7" customFormat="1" ht="20.100000000000001" customHeight="1" thickBot="1" x14ac:dyDescent="0.3">
      <c r="B76" s="347"/>
      <c r="C76" s="338" t="s">
        <v>50</v>
      </c>
      <c r="D76" s="352"/>
      <c r="E76" s="218" t="s">
        <v>42</v>
      </c>
      <c r="F76" s="338" t="s">
        <v>49</v>
      </c>
      <c r="G76" s="339"/>
      <c r="AJ76" s="219" t="s">
        <v>66</v>
      </c>
      <c r="AK76" s="220" t="s">
        <v>60</v>
      </c>
    </row>
    <row r="77" spans="2:37" s="7" customFormat="1" ht="20.100000000000001" customHeight="1" x14ac:dyDescent="0.25">
      <c r="B77" s="348"/>
      <c r="C77" s="91" t="s">
        <v>48</v>
      </c>
      <c r="D77" s="92" t="s">
        <v>47</v>
      </c>
      <c r="E77" s="93" t="s">
        <v>46</v>
      </c>
      <c r="F77" s="94" t="s">
        <v>33</v>
      </c>
      <c r="G77" s="95" t="s">
        <v>27</v>
      </c>
      <c r="AJ77" s="219" t="s">
        <v>65</v>
      </c>
      <c r="AK77" s="220" t="s">
        <v>58</v>
      </c>
    </row>
    <row r="78" spans="2:37" ht="14.45" customHeight="1" x14ac:dyDescent="0.25">
      <c r="B78" s="108">
        <v>1</v>
      </c>
      <c r="C78" s="45" t="str">
        <f t="shared" ref="C78:C108" si="12">+IF(AI137,"Néant","Néant")</f>
        <v>Néant</v>
      </c>
      <c r="D78" s="96" t="str">
        <f t="shared" ref="D78:D108" si="13">+IF(AI137,"Néant","Néant")</f>
        <v>Néant</v>
      </c>
      <c r="E78" s="97" t="str">
        <f t="shared" ref="E78:E108" si="14">+IF(AI137,"Néant","Néant")</f>
        <v>Néant</v>
      </c>
      <c r="F78" s="82">
        <f t="shared" ref="F78:F108" si="15">IF(LEFT(C78,6)="Risque",IF(ISERR(SEARCH(LOWER(E78),LOWER(C78))),0.25,0.75),IF(C78=E78,1,0))</f>
        <v>1</v>
      </c>
      <c r="G78" s="83">
        <f t="shared" ref="G78:G108" si="16">IF(LEFT(D78,6)="Risque",IF(ISERR(SEARCH(LOWER(E78),LOWER(D78))),0.25,0.75),IF(D78=E78,1,0))</f>
        <v>1</v>
      </c>
      <c r="AJ78" s="102" t="s">
        <v>64</v>
      </c>
      <c r="AK78" s="103" t="s">
        <v>1</v>
      </c>
    </row>
    <row r="79" spans="2:37" ht="14.45" customHeight="1" x14ac:dyDescent="0.25">
      <c r="B79" s="109">
        <f t="shared" ref="B79:B108" si="17">B78+1</f>
        <v>2</v>
      </c>
      <c r="C79" s="45" t="str">
        <f t="shared" si="12"/>
        <v>Néant</v>
      </c>
      <c r="D79" s="96" t="str">
        <f t="shared" si="13"/>
        <v>Néant</v>
      </c>
      <c r="E79" s="97" t="str">
        <f t="shared" si="14"/>
        <v>Néant</v>
      </c>
      <c r="F79" s="82">
        <f t="shared" si="15"/>
        <v>1</v>
      </c>
      <c r="G79" s="83">
        <f t="shared" si="16"/>
        <v>1</v>
      </c>
      <c r="AJ79" s="102" t="s">
        <v>63</v>
      </c>
      <c r="AK79" s="103" t="s">
        <v>55</v>
      </c>
    </row>
    <row r="80" spans="2:37" ht="14.45" customHeight="1" x14ac:dyDescent="0.25">
      <c r="B80" s="109">
        <f t="shared" si="17"/>
        <v>3</v>
      </c>
      <c r="C80" s="45" t="str">
        <f t="shared" si="12"/>
        <v>Néant</v>
      </c>
      <c r="D80" s="96" t="str">
        <f t="shared" si="13"/>
        <v>Néant</v>
      </c>
      <c r="E80" s="97" t="str">
        <f t="shared" si="14"/>
        <v>Néant</v>
      </c>
      <c r="F80" s="82">
        <f t="shared" si="15"/>
        <v>1</v>
      </c>
      <c r="G80" s="83">
        <f t="shared" si="16"/>
        <v>1</v>
      </c>
      <c r="AJ80" s="102" t="s">
        <v>62</v>
      </c>
      <c r="AK80" s="103" t="s">
        <v>54</v>
      </c>
    </row>
    <row r="81" spans="2:37" ht="14.45" customHeight="1" x14ac:dyDescent="0.25">
      <c r="B81" s="109">
        <f t="shared" si="17"/>
        <v>4</v>
      </c>
      <c r="C81" s="45" t="str">
        <f t="shared" si="12"/>
        <v>Néant</v>
      </c>
      <c r="D81" s="96" t="str">
        <f t="shared" si="13"/>
        <v>Néant</v>
      </c>
      <c r="E81" s="97" t="str">
        <f t="shared" si="14"/>
        <v>Néant</v>
      </c>
      <c r="F81" s="82">
        <f t="shared" si="15"/>
        <v>1</v>
      </c>
      <c r="G81" s="83">
        <f t="shared" si="16"/>
        <v>1</v>
      </c>
      <c r="AJ81" s="102" t="s">
        <v>3</v>
      </c>
      <c r="AK81" s="103" t="s">
        <v>53</v>
      </c>
    </row>
    <row r="82" spans="2:37" ht="14.45" customHeight="1" x14ac:dyDescent="0.25">
      <c r="B82" s="109">
        <f t="shared" si="17"/>
        <v>5</v>
      </c>
      <c r="C82" s="45" t="str">
        <f t="shared" si="12"/>
        <v>Néant</v>
      </c>
      <c r="D82" s="96" t="str">
        <f t="shared" si="13"/>
        <v>Néant</v>
      </c>
      <c r="E82" s="97" t="str">
        <f t="shared" si="14"/>
        <v>Néant</v>
      </c>
      <c r="F82" s="82">
        <f t="shared" si="15"/>
        <v>1</v>
      </c>
      <c r="G82" s="83">
        <f t="shared" si="16"/>
        <v>1</v>
      </c>
      <c r="AJ82" s="102" t="s">
        <v>61</v>
      </c>
      <c r="AK82" s="103" t="s">
        <v>52</v>
      </c>
    </row>
    <row r="83" spans="2:37" ht="14.45" customHeight="1" x14ac:dyDescent="0.25">
      <c r="B83" s="109">
        <f t="shared" si="17"/>
        <v>6</v>
      </c>
      <c r="C83" s="45" t="str">
        <f t="shared" si="12"/>
        <v>Néant</v>
      </c>
      <c r="D83" s="96" t="str">
        <f t="shared" si="13"/>
        <v>Néant</v>
      </c>
      <c r="E83" s="97" t="str">
        <f t="shared" si="14"/>
        <v>Néant</v>
      </c>
      <c r="F83" s="82">
        <f t="shared" si="15"/>
        <v>1</v>
      </c>
      <c r="G83" s="83">
        <f t="shared" si="16"/>
        <v>1</v>
      </c>
      <c r="AJ83" s="102" t="s">
        <v>60</v>
      </c>
      <c r="AK83" s="103"/>
    </row>
    <row r="84" spans="2:37" ht="14.45" customHeight="1" x14ac:dyDescent="0.25">
      <c r="B84" s="109">
        <f t="shared" si="17"/>
        <v>7</v>
      </c>
      <c r="C84" s="45" t="str">
        <f t="shared" si="12"/>
        <v>Néant</v>
      </c>
      <c r="D84" s="96" t="str">
        <f t="shared" si="13"/>
        <v>Néant</v>
      </c>
      <c r="E84" s="97" t="str">
        <f t="shared" si="14"/>
        <v>Néant</v>
      </c>
      <c r="F84" s="82">
        <f t="shared" si="15"/>
        <v>1</v>
      </c>
      <c r="G84" s="83">
        <f t="shared" si="16"/>
        <v>1</v>
      </c>
      <c r="AJ84" s="102" t="s">
        <v>59</v>
      </c>
      <c r="AK84" s="103"/>
    </row>
    <row r="85" spans="2:37" ht="14.45" customHeight="1" x14ac:dyDescent="0.25">
      <c r="B85" s="109">
        <f t="shared" si="17"/>
        <v>8</v>
      </c>
      <c r="C85" s="45" t="str">
        <f t="shared" si="12"/>
        <v>Néant</v>
      </c>
      <c r="D85" s="96" t="str">
        <f t="shared" si="13"/>
        <v>Néant</v>
      </c>
      <c r="E85" s="97" t="str">
        <f t="shared" si="14"/>
        <v>Néant</v>
      </c>
      <c r="F85" s="82">
        <f t="shared" si="15"/>
        <v>1</v>
      </c>
      <c r="G85" s="83">
        <f t="shared" si="16"/>
        <v>1</v>
      </c>
      <c r="AJ85" s="102" t="s">
        <v>58</v>
      </c>
      <c r="AK85" s="103"/>
    </row>
    <row r="86" spans="2:37" ht="14.45" customHeight="1" x14ac:dyDescent="0.25">
      <c r="B86" s="109">
        <f t="shared" si="17"/>
        <v>9</v>
      </c>
      <c r="C86" s="45" t="str">
        <f t="shared" si="12"/>
        <v>Néant</v>
      </c>
      <c r="D86" s="96" t="str">
        <f t="shared" si="13"/>
        <v>Néant</v>
      </c>
      <c r="E86" s="97" t="str">
        <f t="shared" si="14"/>
        <v>Néant</v>
      </c>
      <c r="F86" s="82">
        <f t="shared" si="15"/>
        <v>1</v>
      </c>
      <c r="G86" s="83">
        <f t="shared" si="16"/>
        <v>1</v>
      </c>
      <c r="AJ86" s="102" t="s">
        <v>57</v>
      </c>
      <c r="AK86" s="103"/>
    </row>
    <row r="87" spans="2:37" ht="14.45" customHeight="1" x14ac:dyDescent="0.25">
      <c r="B87" s="109">
        <f t="shared" si="17"/>
        <v>10</v>
      </c>
      <c r="C87" s="45" t="str">
        <f t="shared" si="12"/>
        <v>Néant</v>
      </c>
      <c r="D87" s="96" t="str">
        <f t="shared" si="13"/>
        <v>Néant</v>
      </c>
      <c r="E87" s="97" t="str">
        <f t="shared" si="14"/>
        <v>Néant</v>
      </c>
      <c r="F87" s="82">
        <f t="shared" si="15"/>
        <v>1</v>
      </c>
      <c r="G87" s="83">
        <f t="shared" si="16"/>
        <v>1</v>
      </c>
      <c r="AJ87" s="102" t="s">
        <v>1</v>
      </c>
      <c r="AK87" s="103"/>
    </row>
    <row r="88" spans="2:37" ht="14.45" customHeight="1" x14ac:dyDescent="0.25">
      <c r="B88" s="109">
        <f t="shared" si="17"/>
        <v>11</v>
      </c>
      <c r="C88" s="45" t="str">
        <f t="shared" si="12"/>
        <v>Néant</v>
      </c>
      <c r="D88" s="96" t="str">
        <f t="shared" si="13"/>
        <v>Néant</v>
      </c>
      <c r="E88" s="97" t="str">
        <f t="shared" si="14"/>
        <v>Néant</v>
      </c>
      <c r="F88" s="82">
        <f t="shared" si="15"/>
        <v>1</v>
      </c>
      <c r="G88" s="83">
        <f t="shared" si="16"/>
        <v>1</v>
      </c>
      <c r="AJ88" s="102" t="s">
        <v>56</v>
      </c>
      <c r="AK88" s="103"/>
    </row>
    <row r="89" spans="2:37" ht="14.45" customHeight="1" x14ac:dyDescent="0.25">
      <c r="B89" s="109">
        <f t="shared" si="17"/>
        <v>12</v>
      </c>
      <c r="C89" s="45" t="str">
        <f t="shared" si="12"/>
        <v>Néant</v>
      </c>
      <c r="D89" s="96" t="str">
        <f t="shared" si="13"/>
        <v>Néant</v>
      </c>
      <c r="E89" s="97" t="str">
        <f t="shared" si="14"/>
        <v>Néant</v>
      </c>
      <c r="F89" s="82">
        <f t="shared" si="15"/>
        <v>1</v>
      </c>
      <c r="G89" s="83">
        <f t="shared" si="16"/>
        <v>1</v>
      </c>
      <c r="AJ89" s="102" t="s">
        <v>55</v>
      </c>
      <c r="AK89" s="103"/>
    </row>
    <row r="90" spans="2:37" ht="14.45" customHeight="1" x14ac:dyDescent="0.25">
      <c r="B90" s="109">
        <f t="shared" si="17"/>
        <v>13</v>
      </c>
      <c r="C90" s="45" t="str">
        <f t="shared" si="12"/>
        <v>Néant</v>
      </c>
      <c r="D90" s="96" t="str">
        <f t="shared" si="13"/>
        <v>Néant</v>
      </c>
      <c r="E90" s="97" t="str">
        <f t="shared" si="14"/>
        <v>Néant</v>
      </c>
      <c r="F90" s="82">
        <f t="shared" si="15"/>
        <v>1</v>
      </c>
      <c r="G90" s="83">
        <f t="shared" si="16"/>
        <v>1</v>
      </c>
      <c r="AJ90" s="102" t="s">
        <v>54</v>
      </c>
      <c r="AK90" s="103"/>
    </row>
    <row r="91" spans="2:37" ht="14.45" customHeight="1" x14ac:dyDescent="0.25">
      <c r="B91" s="109">
        <f t="shared" si="17"/>
        <v>14</v>
      </c>
      <c r="C91" s="45" t="str">
        <f t="shared" si="12"/>
        <v>Néant</v>
      </c>
      <c r="D91" s="96" t="str">
        <f t="shared" si="13"/>
        <v>Néant</v>
      </c>
      <c r="E91" s="97" t="str">
        <f t="shared" si="14"/>
        <v>Néant</v>
      </c>
      <c r="F91" s="82">
        <f t="shared" si="15"/>
        <v>1</v>
      </c>
      <c r="G91" s="83">
        <f t="shared" si="16"/>
        <v>1</v>
      </c>
      <c r="AJ91" s="102" t="s">
        <v>53</v>
      </c>
      <c r="AK91" s="103"/>
    </row>
    <row r="92" spans="2:37" ht="14.45" customHeight="1" x14ac:dyDescent="0.25">
      <c r="B92" s="109">
        <f t="shared" si="17"/>
        <v>15</v>
      </c>
      <c r="C92" s="45" t="str">
        <f t="shared" si="12"/>
        <v>Néant</v>
      </c>
      <c r="D92" s="96" t="str">
        <f t="shared" si="13"/>
        <v>Néant</v>
      </c>
      <c r="E92" s="97" t="str">
        <f t="shared" si="14"/>
        <v>Néant</v>
      </c>
      <c r="F92" s="82">
        <f t="shared" si="15"/>
        <v>1</v>
      </c>
      <c r="G92" s="83">
        <f t="shared" si="16"/>
        <v>1</v>
      </c>
      <c r="AJ92" s="103" t="s">
        <v>52</v>
      </c>
      <c r="AK92" s="103"/>
    </row>
    <row r="93" spans="2:37" ht="14.45" customHeight="1" x14ac:dyDescent="0.25">
      <c r="B93" s="109">
        <f t="shared" si="17"/>
        <v>16</v>
      </c>
      <c r="C93" s="45" t="str">
        <f t="shared" si="12"/>
        <v>Néant</v>
      </c>
      <c r="D93" s="96" t="str">
        <f t="shared" si="13"/>
        <v>Néant</v>
      </c>
      <c r="E93" s="97" t="str">
        <f t="shared" si="14"/>
        <v>Néant</v>
      </c>
      <c r="F93" s="82">
        <f t="shared" si="15"/>
        <v>1</v>
      </c>
      <c r="G93" s="83">
        <f t="shared" si="16"/>
        <v>1</v>
      </c>
    </row>
    <row r="94" spans="2:37" ht="14.45" customHeight="1" x14ac:dyDescent="0.25">
      <c r="B94" s="109">
        <f t="shared" si="17"/>
        <v>17</v>
      </c>
      <c r="C94" s="45" t="str">
        <f t="shared" si="12"/>
        <v>Néant</v>
      </c>
      <c r="D94" s="96" t="str">
        <f t="shared" si="13"/>
        <v>Néant</v>
      </c>
      <c r="E94" s="97" t="str">
        <f t="shared" si="14"/>
        <v>Néant</v>
      </c>
      <c r="F94" s="82">
        <f t="shared" si="15"/>
        <v>1</v>
      </c>
      <c r="G94" s="83">
        <f t="shared" si="16"/>
        <v>1</v>
      </c>
    </row>
    <row r="95" spans="2:37" ht="14.45" customHeight="1" x14ac:dyDescent="0.25">
      <c r="B95" s="109">
        <f t="shared" si="17"/>
        <v>18</v>
      </c>
      <c r="C95" s="45" t="str">
        <f t="shared" si="12"/>
        <v>Néant</v>
      </c>
      <c r="D95" s="96" t="str">
        <f t="shared" si="13"/>
        <v>Néant</v>
      </c>
      <c r="E95" s="97" t="str">
        <f t="shared" si="14"/>
        <v>Néant</v>
      </c>
      <c r="F95" s="82">
        <f t="shared" si="15"/>
        <v>1</v>
      </c>
      <c r="G95" s="83">
        <f t="shared" si="16"/>
        <v>1</v>
      </c>
    </row>
    <row r="96" spans="2:37" ht="14.45" customHeight="1" x14ac:dyDescent="0.25">
      <c r="B96" s="109">
        <f t="shared" si="17"/>
        <v>19</v>
      </c>
      <c r="C96" s="45" t="str">
        <f t="shared" si="12"/>
        <v>Néant</v>
      </c>
      <c r="D96" s="96" t="str">
        <f t="shared" si="13"/>
        <v>Néant</v>
      </c>
      <c r="E96" s="97" t="str">
        <f t="shared" si="14"/>
        <v>Néant</v>
      </c>
      <c r="F96" s="82">
        <f t="shared" si="15"/>
        <v>1</v>
      </c>
      <c r="G96" s="83">
        <f t="shared" si="16"/>
        <v>1</v>
      </c>
    </row>
    <row r="97" spans="2:7" ht="14.45" customHeight="1" x14ac:dyDescent="0.25">
      <c r="B97" s="109">
        <f t="shared" si="17"/>
        <v>20</v>
      </c>
      <c r="C97" s="45" t="str">
        <f t="shared" si="12"/>
        <v>Néant</v>
      </c>
      <c r="D97" s="96" t="str">
        <f t="shared" si="13"/>
        <v>Néant</v>
      </c>
      <c r="E97" s="97" t="str">
        <f t="shared" si="14"/>
        <v>Néant</v>
      </c>
      <c r="F97" s="82">
        <f t="shared" si="15"/>
        <v>1</v>
      </c>
      <c r="G97" s="83">
        <f t="shared" si="16"/>
        <v>1</v>
      </c>
    </row>
    <row r="98" spans="2:7" ht="14.45" customHeight="1" x14ac:dyDescent="0.25">
      <c r="B98" s="109">
        <f t="shared" si="17"/>
        <v>21</v>
      </c>
      <c r="C98" s="45" t="str">
        <f t="shared" si="12"/>
        <v>Néant</v>
      </c>
      <c r="D98" s="96" t="str">
        <f t="shared" si="13"/>
        <v>Néant</v>
      </c>
      <c r="E98" s="97" t="str">
        <f t="shared" si="14"/>
        <v>Néant</v>
      </c>
      <c r="F98" s="82">
        <f t="shared" si="15"/>
        <v>1</v>
      </c>
      <c r="G98" s="83">
        <f t="shared" si="16"/>
        <v>1</v>
      </c>
    </row>
    <row r="99" spans="2:7" ht="14.45" customHeight="1" x14ac:dyDescent="0.25">
      <c r="B99" s="109">
        <f t="shared" si="17"/>
        <v>22</v>
      </c>
      <c r="C99" s="45" t="str">
        <f t="shared" si="12"/>
        <v>Néant</v>
      </c>
      <c r="D99" s="96" t="str">
        <f t="shared" si="13"/>
        <v>Néant</v>
      </c>
      <c r="E99" s="97" t="str">
        <f t="shared" si="14"/>
        <v>Néant</v>
      </c>
      <c r="F99" s="82">
        <f t="shared" si="15"/>
        <v>1</v>
      </c>
      <c r="G99" s="83">
        <f t="shared" si="16"/>
        <v>1</v>
      </c>
    </row>
    <row r="100" spans="2:7" ht="14.45" customHeight="1" x14ac:dyDescent="0.25">
      <c r="B100" s="109">
        <f t="shared" si="17"/>
        <v>23</v>
      </c>
      <c r="C100" s="45" t="str">
        <f t="shared" si="12"/>
        <v>Néant</v>
      </c>
      <c r="D100" s="96" t="str">
        <f t="shared" si="13"/>
        <v>Néant</v>
      </c>
      <c r="E100" s="97" t="str">
        <f t="shared" si="14"/>
        <v>Néant</v>
      </c>
      <c r="F100" s="82">
        <f t="shared" si="15"/>
        <v>1</v>
      </c>
      <c r="G100" s="83">
        <f t="shared" si="16"/>
        <v>1</v>
      </c>
    </row>
    <row r="101" spans="2:7" ht="14.45" customHeight="1" x14ac:dyDescent="0.25">
      <c r="B101" s="109">
        <f t="shared" si="17"/>
        <v>24</v>
      </c>
      <c r="C101" s="45" t="str">
        <f t="shared" si="12"/>
        <v>Néant</v>
      </c>
      <c r="D101" s="96" t="str">
        <f t="shared" si="13"/>
        <v>Néant</v>
      </c>
      <c r="E101" s="97" t="str">
        <f t="shared" si="14"/>
        <v>Néant</v>
      </c>
      <c r="F101" s="82">
        <f t="shared" si="15"/>
        <v>1</v>
      </c>
      <c r="G101" s="83">
        <f t="shared" si="16"/>
        <v>1</v>
      </c>
    </row>
    <row r="102" spans="2:7" ht="14.45" customHeight="1" x14ac:dyDescent="0.25">
      <c r="B102" s="109">
        <f t="shared" si="17"/>
        <v>25</v>
      </c>
      <c r="C102" s="45" t="str">
        <f t="shared" si="12"/>
        <v>Néant</v>
      </c>
      <c r="D102" s="96" t="str">
        <f t="shared" si="13"/>
        <v>Néant</v>
      </c>
      <c r="E102" s="97" t="str">
        <f t="shared" si="14"/>
        <v>Néant</v>
      </c>
      <c r="F102" s="82">
        <f t="shared" si="15"/>
        <v>1</v>
      </c>
      <c r="G102" s="83">
        <f t="shared" si="16"/>
        <v>1</v>
      </c>
    </row>
    <row r="103" spans="2:7" ht="14.45" customHeight="1" x14ac:dyDescent="0.25">
      <c r="B103" s="109">
        <f t="shared" si="17"/>
        <v>26</v>
      </c>
      <c r="C103" s="45" t="str">
        <f t="shared" si="12"/>
        <v>Néant</v>
      </c>
      <c r="D103" s="96" t="str">
        <f t="shared" si="13"/>
        <v>Néant</v>
      </c>
      <c r="E103" s="97" t="str">
        <f t="shared" si="14"/>
        <v>Néant</v>
      </c>
      <c r="F103" s="82">
        <f t="shared" si="15"/>
        <v>1</v>
      </c>
      <c r="G103" s="83">
        <f t="shared" si="16"/>
        <v>1</v>
      </c>
    </row>
    <row r="104" spans="2:7" ht="14.45" customHeight="1" x14ac:dyDescent="0.25">
      <c r="B104" s="109">
        <f t="shared" si="17"/>
        <v>27</v>
      </c>
      <c r="C104" s="45" t="str">
        <f t="shared" si="12"/>
        <v>Néant</v>
      </c>
      <c r="D104" s="96" t="str">
        <f t="shared" si="13"/>
        <v>Néant</v>
      </c>
      <c r="E104" s="97" t="str">
        <f t="shared" si="14"/>
        <v>Néant</v>
      </c>
      <c r="F104" s="82">
        <f t="shared" si="15"/>
        <v>1</v>
      </c>
      <c r="G104" s="83">
        <f t="shared" si="16"/>
        <v>1</v>
      </c>
    </row>
    <row r="105" spans="2:7" ht="14.45" customHeight="1" x14ac:dyDescent="0.25">
      <c r="B105" s="109">
        <f t="shared" si="17"/>
        <v>28</v>
      </c>
      <c r="C105" s="45" t="str">
        <f t="shared" si="12"/>
        <v>Néant</v>
      </c>
      <c r="D105" s="96" t="str">
        <f t="shared" si="13"/>
        <v>Néant</v>
      </c>
      <c r="E105" s="97" t="str">
        <f t="shared" si="14"/>
        <v>Néant</v>
      </c>
      <c r="F105" s="82">
        <f t="shared" si="15"/>
        <v>1</v>
      </c>
      <c r="G105" s="83">
        <f t="shared" si="16"/>
        <v>1</v>
      </c>
    </row>
    <row r="106" spans="2:7" ht="14.45" customHeight="1" x14ac:dyDescent="0.25">
      <c r="B106" s="109">
        <f t="shared" si="17"/>
        <v>29</v>
      </c>
      <c r="C106" s="45" t="str">
        <f t="shared" si="12"/>
        <v>Néant</v>
      </c>
      <c r="D106" s="96" t="str">
        <f t="shared" si="13"/>
        <v>Néant</v>
      </c>
      <c r="E106" s="97" t="str">
        <f t="shared" si="14"/>
        <v>Néant</v>
      </c>
      <c r="F106" s="82">
        <f t="shared" si="15"/>
        <v>1</v>
      </c>
      <c r="G106" s="83">
        <f t="shared" si="16"/>
        <v>1</v>
      </c>
    </row>
    <row r="107" spans="2:7" ht="14.45" customHeight="1" x14ac:dyDescent="0.25">
      <c r="B107" s="109">
        <f t="shared" si="17"/>
        <v>30</v>
      </c>
      <c r="C107" s="45" t="str">
        <f t="shared" si="12"/>
        <v>Néant</v>
      </c>
      <c r="D107" s="96" t="str">
        <f t="shared" si="13"/>
        <v>Néant</v>
      </c>
      <c r="E107" s="97" t="str">
        <f t="shared" si="14"/>
        <v>Néant</v>
      </c>
      <c r="F107" s="82">
        <f t="shared" si="15"/>
        <v>1</v>
      </c>
      <c r="G107" s="83">
        <f t="shared" si="16"/>
        <v>1</v>
      </c>
    </row>
    <row r="108" spans="2:7" ht="14.45" customHeight="1" thickBot="1" x14ac:dyDescent="0.3">
      <c r="B108" s="110">
        <f t="shared" si="17"/>
        <v>31</v>
      </c>
      <c r="C108" s="106" t="str">
        <f t="shared" si="12"/>
        <v>Néant</v>
      </c>
      <c r="D108" s="104" t="str">
        <f t="shared" si="13"/>
        <v>Néant</v>
      </c>
      <c r="E108" s="105" t="str">
        <f t="shared" si="14"/>
        <v>Néant</v>
      </c>
      <c r="F108" s="88">
        <f t="shared" si="15"/>
        <v>1</v>
      </c>
      <c r="G108" s="89">
        <f t="shared" si="16"/>
        <v>1</v>
      </c>
    </row>
    <row r="109" spans="2:7" ht="14.1" customHeight="1" thickBot="1" x14ac:dyDescent="0.3">
      <c r="B109" s="353"/>
      <c r="C109" s="354"/>
      <c r="D109" s="354"/>
      <c r="E109" s="354"/>
      <c r="F109" s="354"/>
      <c r="G109" s="355"/>
    </row>
    <row r="110" spans="2:7" s="7" customFormat="1" ht="20.100000000000001" customHeight="1" thickBot="1" x14ac:dyDescent="0.3">
      <c r="B110" s="346" t="s">
        <v>5</v>
      </c>
      <c r="C110" s="349" t="s">
        <v>51</v>
      </c>
      <c r="D110" s="350"/>
      <c r="E110" s="350"/>
      <c r="F110" s="350"/>
      <c r="G110" s="351"/>
    </row>
    <row r="111" spans="2:7" s="7" customFormat="1" ht="20.100000000000001" customHeight="1" thickBot="1" x14ac:dyDescent="0.3">
      <c r="B111" s="347"/>
      <c r="C111" s="338" t="s">
        <v>50</v>
      </c>
      <c r="D111" s="352"/>
      <c r="E111" s="218" t="s">
        <v>42</v>
      </c>
      <c r="F111" s="338" t="s">
        <v>49</v>
      </c>
      <c r="G111" s="339"/>
    </row>
    <row r="112" spans="2:7" s="7" customFormat="1" ht="20.100000000000001" customHeight="1" x14ac:dyDescent="0.25">
      <c r="B112" s="348"/>
      <c r="C112" s="91" t="s">
        <v>48</v>
      </c>
      <c r="D112" s="92" t="s">
        <v>47</v>
      </c>
      <c r="E112" s="93" t="s">
        <v>46</v>
      </c>
      <c r="F112" s="94" t="s">
        <v>33</v>
      </c>
      <c r="G112" s="95" t="s">
        <v>27</v>
      </c>
    </row>
    <row r="113" spans="2:7" ht="14.45" customHeight="1" x14ac:dyDescent="0.25">
      <c r="B113" s="79">
        <v>1</v>
      </c>
      <c r="C113" s="45" t="str">
        <f t="shared" ref="C113:C143" si="18">+IF(AI172,"Néant","Néant")</f>
        <v>Néant</v>
      </c>
      <c r="D113" s="96" t="str">
        <f t="shared" ref="D113:D143" si="19">+IF(AI172,"Néant","Néant")</f>
        <v>Néant</v>
      </c>
      <c r="E113" s="97" t="str">
        <f t="shared" ref="E113:E143" si="20">+IF(AI172,"Néant","Néant")</f>
        <v>Néant</v>
      </c>
      <c r="F113" s="82">
        <f t="shared" ref="F113:F143" si="21">IF(LEFT(C113,6)="Risque",IF(ISERR(SEARCH(LOWER(E113),LOWER(C113))),0.25,0.75),IF(C113=E113,1,0))</f>
        <v>1</v>
      </c>
      <c r="G113" s="83">
        <f t="shared" ref="G113:G143" si="22">IF(LEFT(D113,6)="Risque",IF(ISERR(SEARCH(LOWER(E113),LOWER(D113))),0.25,0.75),IF(D113=E113,1,0))</f>
        <v>1</v>
      </c>
    </row>
    <row r="114" spans="2:7" ht="14.45" customHeight="1" x14ac:dyDescent="0.25">
      <c r="B114" s="86">
        <f t="shared" ref="B114:B143" si="23">B113+1</f>
        <v>2</v>
      </c>
      <c r="C114" s="45" t="str">
        <f t="shared" si="18"/>
        <v>Néant</v>
      </c>
      <c r="D114" s="96" t="str">
        <f t="shared" si="19"/>
        <v>Néant</v>
      </c>
      <c r="E114" s="97" t="str">
        <f t="shared" si="20"/>
        <v>Néant</v>
      </c>
      <c r="F114" s="82">
        <f t="shared" si="21"/>
        <v>1</v>
      </c>
      <c r="G114" s="83">
        <f t="shared" si="22"/>
        <v>1</v>
      </c>
    </row>
    <row r="115" spans="2:7" ht="14.45" customHeight="1" x14ac:dyDescent="0.25">
      <c r="B115" s="86">
        <f t="shared" si="23"/>
        <v>3</v>
      </c>
      <c r="C115" s="45" t="str">
        <f t="shared" si="18"/>
        <v>Néant</v>
      </c>
      <c r="D115" s="96" t="str">
        <f t="shared" si="19"/>
        <v>Néant</v>
      </c>
      <c r="E115" s="97" t="str">
        <f t="shared" si="20"/>
        <v>Néant</v>
      </c>
      <c r="F115" s="82">
        <f t="shared" si="21"/>
        <v>1</v>
      </c>
      <c r="G115" s="83">
        <f t="shared" si="22"/>
        <v>1</v>
      </c>
    </row>
    <row r="116" spans="2:7" ht="14.45" customHeight="1" x14ac:dyDescent="0.25">
      <c r="B116" s="86">
        <f t="shared" si="23"/>
        <v>4</v>
      </c>
      <c r="C116" s="45" t="str">
        <f t="shared" si="18"/>
        <v>Néant</v>
      </c>
      <c r="D116" s="96" t="str">
        <f t="shared" si="19"/>
        <v>Néant</v>
      </c>
      <c r="E116" s="97" t="str">
        <f t="shared" si="20"/>
        <v>Néant</v>
      </c>
      <c r="F116" s="82">
        <f t="shared" si="21"/>
        <v>1</v>
      </c>
      <c r="G116" s="83">
        <f t="shared" si="22"/>
        <v>1</v>
      </c>
    </row>
    <row r="117" spans="2:7" ht="14.45" customHeight="1" x14ac:dyDescent="0.25">
      <c r="B117" s="86">
        <f t="shared" si="23"/>
        <v>5</v>
      </c>
      <c r="C117" s="45" t="str">
        <f t="shared" si="18"/>
        <v>Néant</v>
      </c>
      <c r="D117" s="96" t="str">
        <f t="shared" si="19"/>
        <v>Néant</v>
      </c>
      <c r="E117" s="97" t="str">
        <f t="shared" si="20"/>
        <v>Néant</v>
      </c>
      <c r="F117" s="82">
        <f t="shared" si="21"/>
        <v>1</v>
      </c>
      <c r="G117" s="83">
        <f t="shared" si="22"/>
        <v>1</v>
      </c>
    </row>
    <row r="118" spans="2:7" ht="14.45" customHeight="1" x14ac:dyDescent="0.25">
      <c r="B118" s="86">
        <f t="shared" si="23"/>
        <v>6</v>
      </c>
      <c r="C118" s="45" t="str">
        <f t="shared" si="18"/>
        <v>Néant</v>
      </c>
      <c r="D118" s="96" t="str">
        <f t="shared" si="19"/>
        <v>Néant</v>
      </c>
      <c r="E118" s="97" t="str">
        <f t="shared" si="20"/>
        <v>Néant</v>
      </c>
      <c r="F118" s="82">
        <f t="shared" si="21"/>
        <v>1</v>
      </c>
      <c r="G118" s="83">
        <f t="shared" si="22"/>
        <v>1</v>
      </c>
    </row>
    <row r="119" spans="2:7" ht="14.45" customHeight="1" x14ac:dyDescent="0.25">
      <c r="B119" s="86">
        <f t="shared" si="23"/>
        <v>7</v>
      </c>
      <c r="C119" s="45" t="str">
        <f t="shared" si="18"/>
        <v>Néant</v>
      </c>
      <c r="D119" s="96" t="str">
        <f t="shared" si="19"/>
        <v>Néant</v>
      </c>
      <c r="E119" s="97" t="str">
        <f t="shared" si="20"/>
        <v>Néant</v>
      </c>
      <c r="F119" s="82">
        <f t="shared" si="21"/>
        <v>1</v>
      </c>
      <c r="G119" s="83">
        <f t="shared" si="22"/>
        <v>1</v>
      </c>
    </row>
    <row r="120" spans="2:7" ht="14.45" customHeight="1" x14ac:dyDescent="0.25">
      <c r="B120" s="86">
        <f t="shared" si="23"/>
        <v>8</v>
      </c>
      <c r="C120" s="45" t="str">
        <f t="shared" si="18"/>
        <v>Néant</v>
      </c>
      <c r="D120" s="96" t="str">
        <f t="shared" si="19"/>
        <v>Néant</v>
      </c>
      <c r="E120" s="97" t="str">
        <f t="shared" si="20"/>
        <v>Néant</v>
      </c>
      <c r="F120" s="82">
        <f t="shared" si="21"/>
        <v>1</v>
      </c>
      <c r="G120" s="83">
        <f t="shared" si="22"/>
        <v>1</v>
      </c>
    </row>
    <row r="121" spans="2:7" ht="14.45" customHeight="1" x14ac:dyDescent="0.25">
      <c r="B121" s="86">
        <f t="shared" si="23"/>
        <v>9</v>
      </c>
      <c r="C121" s="45" t="str">
        <f t="shared" si="18"/>
        <v>Néant</v>
      </c>
      <c r="D121" s="96" t="str">
        <f t="shared" si="19"/>
        <v>Néant</v>
      </c>
      <c r="E121" s="97" t="str">
        <f t="shared" si="20"/>
        <v>Néant</v>
      </c>
      <c r="F121" s="82">
        <f t="shared" si="21"/>
        <v>1</v>
      </c>
      <c r="G121" s="83">
        <f t="shared" si="22"/>
        <v>1</v>
      </c>
    </row>
    <row r="122" spans="2:7" ht="14.45" customHeight="1" x14ac:dyDescent="0.25">
      <c r="B122" s="86">
        <f t="shared" si="23"/>
        <v>10</v>
      </c>
      <c r="C122" s="45" t="str">
        <f t="shared" si="18"/>
        <v>Néant</v>
      </c>
      <c r="D122" s="96" t="str">
        <f t="shared" si="19"/>
        <v>Néant</v>
      </c>
      <c r="E122" s="97" t="str">
        <f t="shared" si="20"/>
        <v>Néant</v>
      </c>
      <c r="F122" s="82">
        <f t="shared" si="21"/>
        <v>1</v>
      </c>
      <c r="G122" s="83">
        <f t="shared" si="22"/>
        <v>1</v>
      </c>
    </row>
    <row r="123" spans="2:7" ht="14.45" customHeight="1" x14ac:dyDescent="0.25">
      <c r="B123" s="86">
        <f t="shared" si="23"/>
        <v>11</v>
      </c>
      <c r="C123" s="45" t="str">
        <f t="shared" si="18"/>
        <v>Néant</v>
      </c>
      <c r="D123" s="96" t="str">
        <f t="shared" si="19"/>
        <v>Néant</v>
      </c>
      <c r="E123" s="97" t="str">
        <f t="shared" si="20"/>
        <v>Néant</v>
      </c>
      <c r="F123" s="82">
        <f t="shared" si="21"/>
        <v>1</v>
      </c>
      <c r="G123" s="83">
        <f t="shared" si="22"/>
        <v>1</v>
      </c>
    </row>
    <row r="124" spans="2:7" ht="14.45" customHeight="1" x14ac:dyDescent="0.25">
      <c r="B124" s="86">
        <f t="shared" si="23"/>
        <v>12</v>
      </c>
      <c r="C124" s="45" t="str">
        <f t="shared" si="18"/>
        <v>Néant</v>
      </c>
      <c r="D124" s="96" t="str">
        <f t="shared" si="19"/>
        <v>Néant</v>
      </c>
      <c r="E124" s="97" t="str">
        <f t="shared" si="20"/>
        <v>Néant</v>
      </c>
      <c r="F124" s="82">
        <f t="shared" si="21"/>
        <v>1</v>
      </c>
      <c r="G124" s="83">
        <f t="shared" si="22"/>
        <v>1</v>
      </c>
    </row>
    <row r="125" spans="2:7" ht="14.45" customHeight="1" x14ac:dyDescent="0.25">
      <c r="B125" s="86">
        <f t="shared" si="23"/>
        <v>13</v>
      </c>
      <c r="C125" s="45" t="str">
        <f t="shared" si="18"/>
        <v>Néant</v>
      </c>
      <c r="D125" s="96" t="str">
        <f t="shared" si="19"/>
        <v>Néant</v>
      </c>
      <c r="E125" s="97" t="str">
        <f t="shared" si="20"/>
        <v>Néant</v>
      </c>
      <c r="F125" s="82">
        <f t="shared" si="21"/>
        <v>1</v>
      </c>
      <c r="G125" s="83">
        <f t="shared" si="22"/>
        <v>1</v>
      </c>
    </row>
    <row r="126" spans="2:7" ht="14.45" customHeight="1" x14ac:dyDescent="0.25">
      <c r="B126" s="86">
        <f t="shared" si="23"/>
        <v>14</v>
      </c>
      <c r="C126" s="45" t="str">
        <f t="shared" si="18"/>
        <v>Néant</v>
      </c>
      <c r="D126" s="96" t="str">
        <f t="shared" si="19"/>
        <v>Néant</v>
      </c>
      <c r="E126" s="97" t="str">
        <f t="shared" si="20"/>
        <v>Néant</v>
      </c>
      <c r="F126" s="82">
        <f t="shared" si="21"/>
        <v>1</v>
      </c>
      <c r="G126" s="83">
        <f t="shared" si="22"/>
        <v>1</v>
      </c>
    </row>
    <row r="127" spans="2:7" ht="14.45" customHeight="1" x14ac:dyDescent="0.25">
      <c r="B127" s="86">
        <f t="shared" si="23"/>
        <v>15</v>
      </c>
      <c r="C127" s="45" t="str">
        <f t="shared" si="18"/>
        <v>Néant</v>
      </c>
      <c r="D127" s="96" t="str">
        <f t="shared" si="19"/>
        <v>Néant</v>
      </c>
      <c r="E127" s="97" t="str">
        <f t="shared" si="20"/>
        <v>Néant</v>
      </c>
      <c r="F127" s="82">
        <f t="shared" si="21"/>
        <v>1</v>
      </c>
      <c r="G127" s="83">
        <f t="shared" si="22"/>
        <v>1</v>
      </c>
    </row>
    <row r="128" spans="2:7" ht="14.45" customHeight="1" x14ac:dyDescent="0.25">
      <c r="B128" s="86">
        <f t="shared" si="23"/>
        <v>16</v>
      </c>
      <c r="C128" s="45" t="str">
        <f t="shared" si="18"/>
        <v>Néant</v>
      </c>
      <c r="D128" s="96" t="str">
        <f t="shared" si="19"/>
        <v>Néant</v>
      </c>
      <c r="E128" s="97" t="str">
        <f t="shared" si="20"/>
        <v>Néant</v>
      </c>
      <c r="F128" s="82">
        <f t="shared" si="21"/>
        <v>1</v>
      </c>
      <c r="G128" s="83">
        <f t="shared" si="22"/>
        <v>1</v>
      </c>
    </row>
    <row r="129" spans="2:7" ht="14.45" customHeight="1" x14ac:dyDescent="0.25">
      <c r="B129" s="86">
        <f t="shared" si="23"/>
        <v>17</v>
      </c>
      <c r="C129" s="45" t="str">
        <f t="shared" si="18"/>
        <v>Néant</v>
      </c>
      <c r="D129" s="96" t="str">
        <f t="shared" si="19"/>
        <v>Néant</v>
      </c>
      <c r="E129" s="97" t="str">
        <f t="shared" si="20"/>
        <v>Néant</v>
      </c>
      <c r="F129" s="82">
        <f t="shared" si="21"/>
        <v>1</v>
      </c>
      <c r="G129" s="83">
        <f t="shared" si="22"/>
        <v>1</v>
      </c>
    </row>
    <row r="130" spans="2:7" ht="14.45" customHeight="1" x14ac:dyDescent="0.25">
      <c r="B130" s="86">
        <f t="shared" si="23"/>
        <v>18</v>
      </c>
      <c r="C130" s="45" t="str">
        <f t="shared" si="18"/>
        <v>Néant</v>
      </c>
      <c r="D130" s="96" t="str">
        <f t="shared" si="19"/>
        <v>Néant</v>
      </c>
      <c r="E130" s="97" t="str">
        <f t="shared" si="20"/>
        <v>Néant</v>
      </c>
      <c r="F130" s="82">
        <f t="shared" si="21"/>
        <v>1</v>
      </c>
      <c r="G130" s="83">
        <f t="shared" si="22"/>
        <v>1</v>
      </c>
    </row>
    <row r="131" spans="2:7" ht="14.45" customHeight="1" x14ac:dyDescent="0.25">
      <c r="B131" s="86">
        <f t="shared" si="23"/>
        <v>19</v>
      </c>
      <c r="C131" s="45" t="str">
        <f t="shared" si="18"/>
        <v>Néant</v>
      </c>
      <c r="D131" s="96" t="str">
        <f t="shared" si="19"/>
        <v>Néant</v>
      </c>
      <c r="E131" s="97" t="str">
        <f t="shared" si="20"/>
        <v>Néant</v>
      </c>
      <c r="F131" s="82">
        <f t="shared" si="21"/>
        <v>1</v>
      </c>
      <c r="G131" s="83">
        <f t="shared" si="22"/>
        <v>1</v>
      </c>
    </row>
    <row r="132" spans="2:7" ht="14.45" customHeight="1" x14ac:dyDescent="0.25">
      <c r="B132" s="86">
        <f t="shared" si="23"/>
        <v>20</v>
      </c>
      <c r="C132" s="45" t="str">
        <f t="shared" si="18"/>
        <v>Néant</v>
      </c>
      <c r="D132" s="96" t="str">
        <f t="shared" si="19"/>
        <v>Néant</v>
      </c>
      <c r="E132" s="97" t="str">
        <f t="shared" si="20"/>
        <v>Néant</v>
      </c>
      <c r="F132" s="82">
        <f t="shared" si="21"/>
        <v>1</v>
      </c>
      <c r="G132" s="83">
        <f t="shared" si="22"/>
        <v>1</v>
      </c>
    </row>
    <row r="133" spans="2:7" ht="14.45" customHeight="1" x14ac:dyDescent="0.25">
      <c r="B133" s="86">
        <f t="shared" si="23"/>
        <v>21</v>
      </c>
      <c r="C133" s="45" t="str">
        <f t="shared" si="18"/>
        <v>Néant</v>
      </c>
      <c r="D133" s="96" t="str">
        <f t="shared" si="19"/>
        <v>Néant</v>
      </c>
      <c r="E133" s="97" t="str">
        <f t="shared" si="20"/>
        <v>Néant</v>
      </c>
      <c r="F133" s="82">
        <f t="shared" si="21"/>
        <v>1</v>
      </c>
      <c r="G133" s="83">
        <f t="shared" si="22"/>
        <v>1</v>
      </c>
    </row>
    <row r="134" spans="2:7" ht="14.45" customHeight="1" x14ac:dyDescent="0.25">
      <c r="B134" s="86">
        <f t="shared" si="23"/>
        <v>22</v>
      </c>
      <c r="C134" s="45" t="str">
        <f t="shared" si="18"/>
        <v>Néant</v>
      </c>
      <c r="D134" s="96" t="str">
        <f t="shared" si="19"/>
        <v>Néant</v>
      </c>
      <c r="E134" s="97" t="str">
        <f t="shared" si="20"/>
        <v>Néant</v>
      </c>
      <c r="F134" s="82">
        <f t="shared" si="21"/>
        <v>1</v>
      </c>
      <c r="G134" s="83">
        <f t="shared" si="22"/>
        <v>1</v>
      </c>
    </row>
    <row r="135" spans="2:7" ht="14.45" customHeight="1" x14ac:dyDescent="0.25">
      <c r="B135" s="86">
        <f t="shared" si="23"/>
        <v>23</v>
      </c>
      <c r="C135" s="45" t="str">
        <f t="shared" si="18"/>
        <v>Néant</v>
      </c>
      <c r="D135" s="96" t="str">
        <f t="shared" si="19"/>
        <v>Néant</v>
      </c>
      <c r="E135" s="97" t="str">
        <f t="shared" si="20"/>
        <v>Néant</v>
      </c>
      <c r="F135" s="82">
        <f t="shared" si="21"/>
        <v>1</v>
      </c>
      <c r="G135" s="83">
        <f t="shared" si="22"/>
        <v>1</v>
      </c>
    </row>
    <row r="136" spans="2:7" ht="14.45" customHeight="1" x14ac:dyDescent="0.25">
      <c r="B136" s="86">
        <f t="shared" si="23"/>
        <v>24</v>
      </c>
      <c r="C136" s="45" t="str">
        <f t="shared" si="18"/>
        <v>Néant</v>
      </c>
      <c r="D136" s="96" t="str">
        <f t="shared" si="19"/>
        <v>Néant</v>
      </c>
      <c r="E136" s="97" t="str">
        <f t="shared" si="20"/>
        <v>Néant</v>
      </c>
      <c r="F136" s="82">
        <f t="shared" si="21"/>
        <v>1</v>
      </c>
      <c r="G136" s="83">
        <f t="shared" si="22"/>
        <v>1</v>
      </c>
    </row>
    <row r="137" spans="2:7" ht="14.45" customHeight="1" x14ac:dyDescent="0.25">
      <c r="B137" s="86">
        <f t="shared" si="23"/>
        <v>25</v>
      </c>
      <c r="C137" s="45" t="str">
        <f t="shared" si="18"/>
        <v>Néant</v>
      </c>
      <c r="D137" s="96" t="str">
        <f t="shared" si="19"/>
        <v>Néant</v>
      </c>
      <c r="E137" s="97" t="str">
        <f t="shared" si="20"/>
        <v>Néant</v>
      </c>
      <c r="F137" s="82">
        <f t="shared" si="21"/>
        <v>1</v>
      </c>
      <c r="G137" s="83">
        <f t="shared" si="22"/>
        <v>1</v>
      </c>
    </row>
    <row r="138" spans="2:7" ht="14.45" customHeight="1" x14ac:dyDescent="0.25">
      <c r="B138" s="86">
        <f t="shared" si="23"/>
        <v>26</v>
      </c>
      <c r="C138" s="45" t="str">
        <f t="shared" si="18"/>
        <v>Néant</v>
      </c>
      <c r="D138" s="96" t="str">
        <f t="shared" si="19"/>
        <v>Néant</v>
      </c>
      <c r="E138" s="97" t="str">
        <f t="shared" si="20"/>
        <v>Néant</v>
      </c>
      <c r="F138" s="82">
        <f t="shared" si="21"/>
        <v>1</v>
      </c>
      <c r="G138" s="83">
        <f t="shared" si="22"/>
        <v>1</v>
      </c>
    </row>
    <row r="139" spans="2:7" ht="14.45" customHeight="1" x14ac:dyDescent="0.25">
      <c r="B139" s="86">
        <f t="shared" si="23"/>
        <v>27</v>
      </c>
      <c r="C139" s="45" t="str">
        <f t="shared" si="18"/>
        <v>Néant</v>
      </c>
      <c r="D139" s="96" t="str">
        <f t="shared" si="19"/>
        <v>Néant</v>
      </c>
      <c r="E139" s="97" t="str">
        <f t="shared" si="20"/>
        <v>Néant</v>
      </c>
      <c r="F139" s="82">
        <f t="shared" si="21"/>
        <v>1</v>
      </c>
      <c r="G139" s="83">
        <f t="shared" si="22"/>
        <v>1</v>
      </c>
    </row>
    <row r="140" spans="2:7" ht="14.45" customHeight="1" x14ac:dyDescent="0.25">
      <c r="B140" s="86">
        <f t="shared" si="23"/>
        <v>28</v>
      </c>
      <c r="C140" s="45" t="str">
        <f t="shared" si="18"/>
        <v>Néant</v>
      </c>
      <c r="D140" s="96" t="str">
        <f t="shared" si="19"/>
        <v>Néant</v>
      </c>
      <c r="E140" s="97" t="str">
        <f t="shared" si="20"/>
        <v>Néant</v>
      </c>
      <c r="F140" s="82">
        <f t="shared" si="21"/>
        <v>1</v>
      </c>
      <c r="G140" s="83">
        <f t="shared" si="22"/>
        <v>1</v>
      </c>
    </row>
    <row r="141" spans="2:7" ht="14.45" customHeight="1" x14ac:dyDescent="0.25">
      <c r="B141" s="86">
        <f t="shared" si="23"/>
        <v>29</v>
      </c>
      <c r="C141" s="45" t="str">
        <f t="shared" si="18"/>
        <v>Néant</v>
      </c>
      <c r="D141" s="96" t="str">
        <f t="shared" si="19"/>
        <v>Néant</v>
      </c>
      <c r="E141" s="97" t="str">
        <f t="shared" si="20"/>
        <v>Néant</v>
      </c>
      <c r="F141" s="82">
        <f t="shared" si="21"/>
        <v>1</v>
      </c>
      <c r="G141" s="83">
        <f t="shared" si="22"/>
        <v>1</v>
      </c>
    </row>
    <row r="142" spans="2:7" ht="14.45" customHeight="1" x14ac:dyDescent="0.25">
      <c r="B142" s="86">
        <f t="shared" si="23"/>
        <v>30</v>
      </c>
      <c r="C142" s="45" t="str">
        <f t="shared" si="18"/>
        <v>Néant</v>
      </c>
      <c r="D142" s="96" t="str">
        <f t="shared" si="19"/>
        <v>Néant</v>
      </c>
      <c r="E142" s="97" t="str">
        <f t="shared" si="20"/>
        <v>Néant</v>
      </c>
      <c r="F142" s="82">
        <f t="shared" si="21"/>
        <v>1</v>
      </c>
      <c r="G142" s="83">
        <f t="shared" si="22"/>
        <v>1</v>
      </c>
    </row>
    <row r="143" spans="2:7" ht="14.45" customHeight="1" thickBot="1" x14ac:dyDescent="0.3">
      <c r="B143" s="87">
        <f t="shared" si="23"/>
        <v>31</v>
      </c>
      <c r="C143" s="106" t="str">
        <f t="shared" si="18"/>
        <v>Néant</v>
      </c>
      <c r="D143" s="104" t="str">
        <f t="shared" si="19"/>
        <v>Néant</v>
      </c>
      <c r="E143" s="105" t="str">
        <f t="shared" si="20"/>
        <v>Néant</v>
      </c>
      <c r="F143" s="88">
        <f t="shared" si="21"/>
        <v>1</v>
      </c>
      <c r="G143" s="89">
        <f t="shared" si="22"/>
        <v>1</v>
      </c>
    </row>
    <row r="144" spans="2:7" ht="14.1" customHeight="1" thickBot="1" x14ac:dyDescent="0.3">
      <c r="B144" s="353"/>
      <c r="C144" s="354"/>
      <c r="D144" s="354"/>
      <c r="E144" s="354"/>
      <c r="F144" s="354"/>
      <c r="G144" s="355"/>
    </row>
  </sheetData>
  <sheetProtection selectLockedCells="1" selectUnlockedCells="1"/>
  <mergeCells count="28">
    <mergeCell ref="B2:C2"/>
    <mergeCell ref="E2:G2"/>
    <mergeCell ref="B144:G144"/>
    <mergeCell ref="L7:M7"/>
    <mergeCell ref="B39:G39"/>
    <mergeCell ref="B74:G74"/>
    <mergeCell ref="B109:G109"/>
    <mergeCell ref="B110:B112"/>
    <mergeCell ref="C110:G110"/>
    <mergeCell ref="C111:D111"/>
    <mergeCell ref="C75:G75"/>
    <mergeCell ref="B5:B7"/>
    <mergeCell ref="C76:D76"/>
    <mergeCell ref="F76:G76"/>
    <mergeCell ref="C5:G5"/>
    <mergeCell ref="C6:D6"/>
    <mergeCell ref="F111:G111"/>
    <mergeCell ref="B40:B42"/>
    <mergeCell ref="C40:G40"/>
    <mergeCell ref="C41:D41"/>
    <mergeCell ref="F41:G41"/>
    <mergeCell ref="B75:B77"/>
    <mergeCell ref="T6:T7"/>
    <mergeCell ref="U6:U7"/>
    <mergeCell ref="F6:G6"/>
    <mergeCell ref="S6:S7"/>
    <mergeCell ref="V6:V7"/>
    <mergeCell ref="I5:J6"/>
  </mergeCells>
  <conditionalFormatting sqref="I8:J38">
    <cfRule type="cellIs" dxfId="123" priority="57" operator="equal">
      <formula>1</formula>
    </cfRule>
    <cfRule type="cellIs" dxfId="122" priority="58" operator="between">
      <formula>0.8</formula>
      <formula>0.999</formula>
    </cfRule>
    <cfRule type="cellIs" dxfId="121" priority="59" operator="between">
      <formula>0.6</formula>
      <formula>0.7999</formula>
    </cfRule>
    <cfRule type="cellIs" dxfId="120" priority="60" operator="between">
      <formula>0.4</formula>
      <formula>0.5999</formula>
    </cfRule>
    <cfRule type="cellIs" dxfId="119" priority="61" operator="between">
      <formula>0.2</formula>
      <formula>0.3999</formula>
    </cfRule>
    <cfRule type="cellIs" dxfId="118" priority="62" operator="between">
      <formula>0</formula>
      <formula>0.1999</formula>
    </cfRule>
  </conditionalFormatting>
  <conditionalFormatting sqref="L8:M8">
    <cfRule type="cellIs" dxfId="117" priority="51" operator="equal">
      <formula>1</formula>
    </cfRule>
    <cfRule type="cellIs" dxfId="116" priority="52" operator="between">
      <formula>0.8</formula>
      <formula>0.999</formula>
    </cfRule>
    <cfRule type="cellIs" dxfId="115" priority="53" operator="between">
      <formula>0.6</formula>
      <formula>0.7999</formula>
    </cfRule>
    <cfRule type="cellIs" dxfId="114" priority="54" operator="between">
      <formula>0.4</formula>
      <formula>0.5999</formula>
    </cfRule>
    <cfRule type="cellIs" dxfId="113" priority="55" operator="between">
      <formula>0.2</formula>
      <formula>0.3999</formula>
    </cfRule>
    <cfRule type="cellIs" dxfId="112" priority="56" operator="between">
      <formula>0</formula>
      <formula>0.1999</formula>
    </cfRule>
  </conditionalFormatting>
  <conditionalFormatting sqref="F8:F38">
    <cfRule type="cellIs" dxfId="111" priority="45" operator="equal">
      <formula>1</formula>
    </cfRule>
    <cfRule type="cellIs" dxfId="110" priority="46" operator="between">
      <formula>0.8</formula>
      <formula>0.999</formula>
    </cfRule>
    <cfRule type="cellIs" dxfId="109" priority="47" operator="between">
      <formula>0.6</formula>
      <formula>0.7999</formula>
    </cfRule>
    <cfRule type="cellIs" dxfId="108" priority="48" operator="between">
      <formula>0.4</formula>
      <formula>0.5999</formula>
    </cfRule>
    <cfRule type="cellIs" dxfId="107" priority="49" operator="between">
      <formula>0.2</formula>
      <formula>0.3999</formula>
    </cfRule>
    <cfRule type="cellIs" dxfId="106" priority="50" operator="between">
      <formula>0</formula>
      <formula>0.1999</formula>
    </cfRule>
  </conditionalFormatting>
  <conditionalFormatting sqref="G8:G38">
    <cfRule type="cellIs" dxfId="105" priority="39" operator="equal">
      <formula>1</formula>
    </cfRule>
    <cfRule type="cellIs" dxfId="104" priority="40" operator="between">
      <formula>0.8</formula>
      <formula>0.999</formula>
    </cfRule>
    <cfRule type="cellIs" dxfId="103" priority="41" operator="between">
      <formula>0.6</formula>
      <formula>0.7999</formula>
    </cfRule>
    <cfRule type="cellIs" dxfId="102" priority="42" operator="between">
      <formula>0.4</formula>
      <formula>0.5999</formula>
    </cfRule>
    <cfRule type="cellIs" dxfId="101" priority="43" operator="between">
      <formula>0.2</formula>
      <formula>0.3999</formula>
    </cfRule>
    <cfRule type="cellIs" dxfId="100" priority="44" operator="between">
      <formula>0</formula>
      <formula>0.1999</formula>
    </cfRule>
  </conditionalFormatting>
  <conditionalFormatting sqref="G113:G143">
    <cfRule type="cellIs" dxfId="99" priority="3" operator="equal">
      <formula>1</formula>
    </cfRule>
    <cfRule type="cellIs" dxfId="98" priority="4" operator="between">
      <formula>0.8</formula>
      <formula>0.999</formula>
    </cfRule>
    <cfRule type="cellIs" dxfId="97" priority="5" operator="between">
      <formula>0.6</formula>
      <formula>0.7999</formula>
    </cfRule>
    <cfRule type="cellIs" dxfId="96" priority="6" operator="between">
      <formula>0.4</formula>
      <formula>0.5999</formula>
    </cfRule>
    <cfRule type="cellIs" dxfId="95" priority="7" operator="between">
      <formula>0.2</formula>
      <formula>0.3999</formula>
    </cfRule>
    <cfRule type="cellIs" dxfId="94" priority="8" operator="between">
      <formula>0</formula>
      <formula>0.1999</formula>
    </cfRule>
  </conditionalFormatting>
  <conditionalFormatting sqref="F43:F73">
    <cfRule type="cellIs" dxfId="93" priority="33" operator="equal">
      <formula>1</formula>
    </cfRule>
    <cfRule type="cellIs" dxfId="92" priority="34" operator="between">
      <formula>0.8</formula>
      <formula>0.999</formula>
    </cfRule>
    <cfRule type="cellIs" dxfId="91" priority="35" operator="between">
      <formula>0.6</formula>
      <formula>0.7999</formula>
    </cfRule>
    <cfRule type="cellIs" dxfId="90" priority="36" operator="between">
      <formula>0.4</formula>
      <formula>0.5999</formula>
    </cfRule>
    <cfRule type="cellIs" dxfId="89" priority="37" operator="between">
      <formula>0.2</formula>
      <formula>0.3999</formula>
    </cfRule>
    <cfRule type="cellIs" dxfId="88" priority="38" operator="between">
      <formula>0</formula>
      <formula>0.1999</formula>
    </cfRule>
  </conditionalFormatting>
  <conditionalFormatting sqref="G43:G73">
    <cfRule type="cellIs" dxfId="87" priority="27" operator="equal">
      <formula>1</formula>
    </cfRule>
    <cfRule type="cellIs" dxfId="86" priority="28" operator="between">
      <formula>0.8</formula>
      <formula>0.999</formula>
    </cfRule>
    <cfRule type="cellIs" dxfId="85" priority="29" operator="between">
      <formula>0.6</formula>
      <formula>0.7999</formula>
    </cfRule>
    <cfRule type="cellIs" dxfId="84" priority="30" operator="between">
      <formula>0.4</formula>
      <formula>0.5999</formula>
    </cfRule>
    <cfRule type="cellIs" dxfId="83" priority="31" operator="between">
      <formula>0.2</formula>
      <formula>0.3999</formula>
    </cfRule>
    <cfRule type="cellIs" dxfId="82" priority="32" operator="between">
      <formula>0</formula>
      <formula>0.1999</formula>
    </cfRule>
  </conditionalFormatting>
  <conditionalFormatting sqref="F78:F108">
    <cfRule type="cellIs" dxfId="81" priority="21" operator="equal">
      <formula>1</formula>
    </cfRule>
    <cfRule type="cellIs" dxfId="80" priority="22" operator="between">
      <formula>0.8</formula>
      <formula>0.999</formula>
    </cfRule>
    <cfRule type="cellIs" dxfId="79" priority="23" operator="between">
      <formula>0.6</formula>
      <formula>0.7999</formula>
    </cfRule>
    <cfRule type="cellIs" dxfId="78" priority="24" operator="between">
      <formula>0.4</formula>
      <formula>0.5999</formula>
    </cfRule>
    <cfRule type="cellIs" dxfId="77" priority="25" operator="between">
      <formula>0.2</formula>
      <formula>0.3999</formula>
    </cfRule>
    <cfRule type="cellIs" dxfId="76" priority="26" operator="between">
      <formula>0</formula>
      <formula>0.1999</formula>
    </cfRule>
  </conditionalFormatting>
  <conditionalFormatting sqref="G78:G108">
    <cfRule type="cellIs" dxfId="75" priority="15" operator="equal">
      <formula>1</formula>
    </cfRule>
    <cfRule type="cellIs" dxfId="74" priority="16" operator="between">
      <formula>0.8</formula>
      <formula>0.999</formula>
    </cfRule>
    <cfRule type="cellIs" dxfId="73" priority="17" operator="between">
      <formula>0.6</formula>
      <formula>0.7999</formula>
    </cfRule>
    <cfRule type="cellIs" dxfId="72" priority="18" operator="between">
      <formula>0.4</formula>
      <formula>0.5999</formula>
    </cfRule>
    <cfRule type="cellIs" dxfId="71" priority="19" operator="between">
      <formula>0.2</formula>
      <formula>0.3999</formula>
    </cfRule>
    <cfRule type="cellIs" dxfId="70" priority="20" operator="between">
      <formula>0</formula>
      <formula>0.1999</formula>
    </cfRule>
  </conditionalFormatting>
  <conditionalFormatting sqref="F113:F143">
    <cfRule type="cellIs" dxfId="69" priority="9" operator="equal">
      <formula>1</formula>
    </cfRule>
    <cfRule type="cellIs" dxfId="68" priority="10" operator="between">
      <formula>0.8</formula>
      <formula>0.999</formula>
    </cfRule>
    <cfRule type="cellIs" dxfId="67" priority="11" operator="between">
      <formula>0.6</formula>
      <formula>0.7999</formula>
    </cfRule>
    <cfRule type="cellIs" dxfId="66" priority="12" operator="between">
      <formula>0.4</formula>
      <formula>0.5999</formula>
    </cfRule>
    <cfRule type="cellIs" dxfId="65" priority="13" operator="between">
      <formula>0.2</formula>
      <formula>0.3999</formula>
    </cfRule>
    <cfRule type="cellIs" dxfId="64" priority="14" operator="between">
      <formula>0</formula>
      <formula>0.1999</formula>
    </cfRule>
  </conditionalFormatting>
  <conditionalFormatting sqref="T8:V38">
    <cfRule type="cellIs" dxfId="63" priority="2" operator="equal">
      <formula>""</formula>
    </cfRule>
  </conditionalFormatting>
  <conditionalFormatting sqref="C8:E38 C43:E73 C78:E108 C113:E143">
    <cfRule type="cellIs" dxfId="62" priority="1" operator="notEqual">
      <formula>"Néant"</formula>
    </cfRule>
  </conditionalFormatting>
  <dataValidations count="2">
    <dataValidation type="list" allowBlank="1" sqref="E43:E73 E113:E143 E78:E108 E8:E38" xr:uid="{E20F5EEA-5E8B-41DB-A1B8-A6CFA25A9ACF}">
      <formula1>$AK$68:$AK$82</formula1>
    </dataValidation>
    <dataValidation type="list" allowBlank="1" sqref="C8:D38 C113:D143 C78:D108 C43:D73" xr:uid="{B6027E48-E7C7-42A9-9F29-7CBA5DE6F8C1}">
      <formula1>$AJ$68:$AJ$92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9591-EE42-428C-9E6E-1208D533ADF2}">
  <dimension ref="B1:T40"/>
  <sheetViews>
    <sheetView topLeftCell="A4" workbookViewId="0">
      <selection activeCell="L38" sqref="B37:L38"/>
    </sheetView>
  </sheetViews>
  <sheetFormatPr baseColWidth="10" defaultColWidth="11.42578125" defaultRowHeight="15" x14ac:dyDescent="0.25"/>
  <cols>
    <col min="1" max="1" style="5" width="11.42578125" collapsed="true"/>
    <col min="2" max="2" customWidth="true" style="5" width="9.85546875" collapsed="true"/>
    <col min="3" max="8" customWidth="true" style="5" width="10.7109375" collapsed="true"/>
    <col min="9" max="10" customWidth="true" style="5" width="11.7109375" collapsed="true"/>
    <col min="11" max="11" customWidth="true" style="5" width="13.85546875" collapsed="true"/>
    <col min="12" max="12" customWidth="true" style="5" width="13.5703125" collapsed="true"/>
    <col min="13" max="16384" style="5" width="11.42578125" collapsed="true"/>
  </cols>
  <sheetData>
    <row r="1" spans="2:20" ht="15" customHeight="1" thickBot="1" x14ac:dyDescent="0.3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126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3" spans="2:20" ht="15" customHeight="1" x14ac:dyDescent="0.25"/>
    <row r="4" spans="2:20" ht="15" customHeight="1" thickBot="1" x14ac:dyDescent="0.3"/>
    <row r="5" spans="2:20" s="30" customFormat="1" ht="15" customHeight="1" thickBot="1" x14ac:dyDescent="0.3">
      <c r="B5" s="372" t="s">
        <v>5</v>
      </c>
      <c r="C5" s="375" t="s">
        <v>85</v>
      </c>
      <c r="D5" s="376"/>
      <c r="E5" s="376"/>
      <c r="F5" s="377"/>
      <c r="G5" s="381" t="s">
        <v>84</v>
      </c>
      <c r="H5" s="366" t="s">
        <v>83</v>
      </c>
      <c r="I5" s="366" t="s">
        <v>128</v>
      </c>
      <c r="J5" s="369" t="s">
        <v>127</v>
      </c>
      <c r="K5" s="366" t="s">
        <v>32</v>
      </c>
      <c r="L5" s="369" t="s">
        <v>31</v>
      </c>
    </row>
    <row r="6" spans="2:20" s="30" customFormat="1" ht="15" customHeight="1" thickBot="1" x14ac:dyDescent="0.3">
      <c r="B6" s="373"/>
      <c r="C6" s="378"/>
      <c r="D6" s="379"/>
      <c r="E6" s="379"/>
      <c r="F6" s="380"/>
      <c r="G6" s="382"/>
      <c r="H6" s="367"/>
      <c r="I6" s="367"/>
      <c r="J6" s="370"/>
      <c r="K6" s="367"/>
      <c r="L6" s="370"/>
      <c r="N6" s="360" t="s">
        <v>79</v>
      </c>
      <c r="O6" s="361"/>
    </row>
    <row r="7" spans="2:20" s="30" customFormat="1" ht="15" customHeight="1" thickBot="1" x14ac:dyDescent="0.3">
      <c r="B7" s="374"/>
      <c r="C7" s="151" t="s">
        <v>81</v>
      </c>
      <c r="D7" s="152" t="s">
        <v>44</v>
      </c>
      <c r="E7" s="153" t="s">
        <v>43</v>
      </c>
      <c r="F7" s="154" t="s">
        <v>80</v>
      </c>
      <c r="G7" s="383"/>
      <c r="H7" s="368"/>
      <c r="I7" s="368"/>
      <c r="J7" s="371"/>
      <c r="K7" s="368"/>
      <c r="L7" s="371"/>
      <c r="N7" s="362"/>
      <c r="O7" s="363"/>
    </row>
    <row r="8" spans="2:20" ht="14.25" customHeight="1" thickBot="1" x14ac:dyDescent="0.3">
      <c r="B8" s="123">
        <v>1</v>
      </c>
      <c r="C8" s="124"/>
      <c r="D8" s="132" t="str">
        <f>IF(ISBLANK(Data!U44),"",IF(MIN(ABS(Data!U44+1-Data!O6),ABS(Data!U44-Data!O6),ABS(Data!U44-1-Data!O6))=ABS(Data!U44+1-Data!O6),Data!U44+1,IF(MIN(ABS(Data!U44+1-Data!O6),ABS(Data!U44-Data!O6),ABS(Data!U44-1-Data!O6))=ABS(Data!U44-Data!O6),Data!U44,IF(MIN(ABS(Data!U44+1-Data!O6),ABS(Data!U44-Data!O6),ABS(Data!U44-1-Data!O6))=ABS(Data!U44-1-Data!O6),Data!U44-1,""))))</f>
        <v/>
      </c>
      <c r="E8" s="125" t="str">
        <f>IF(ISBLANK(Data!V43),"",IF(MIN(ABS(Data!V43+1-Data!O6),ABS(Data!V43-Data!O6),ABS(Data!V43-1-Data!O6))=ABS(Data!V43+1-Data!O6),Data!V43+1,IF(MIN(ABS(Data!V43+1-Data!O6),ABS(Data!V43-Data!O6),ABS(Data!V43-1-Data!O6))=ABS(Data!V43-Data!O6),Data!V43,IF(MIN(ABS(Data!V43+1-Data!O6),ABS(Data!V43-Data!O6),ABS(Data!V43-1-Data!O6))=ABS(Data!V43-1-Data!O6),Data!V43-1,""))))</f>
        <v/>
      </c>
      <c r="F8" s="126" t="str">
        <f>IF(ISBLANK(Data!O6),"",Data!O6)</f>
        <v/>
      </c>
      <c r="G8" s="127">
        <f>+IF(D8="",0.5,IF(ABS(F8-D8)&gt;=5,0,IF(ABS(F8-D8)&gt;=4,0.3,IF(ABS(F8-D8)&gt;=3,0.4,0.5))))</f>
        <v>0.5</v>
      </c>
      <c r="H8" s="128">
        <f t="shared" ref="H8:H38" si="0">+IF(E8="",0.5,IF(ABS(F8-E8)&gt;=5,0,IF(ABS(F8-E8)&gt;=4,0.3,IF(ABS(F8-E8)&gt;=3,0.4,0.5))))</f>
        <v>0.5</v>
      </c>
      <c r="I8" s="137">
        <f t="shared" ref="I8:I38" si="1">IF(D8="",0.5,IF(ABS(F8-D8)&lt;=2,0.5,(IF((F8-C8)*(D8-C8)&gt;=0,IF(F8-C8&gt;6,IF(ABS(ABS(F8-C8)-ABS(D8-C8))&gt;6,0,IF(ABS(ABS(F8-C8)-ABS(D8-C8))&gt;3,0.25,0.5)),IF(ABS(ABS(F8-C8)-ABS(D8-C8))&gt;4,0,IF(ABS(ABS(F8-C8)-ABS(D8-C8))&gt;2,0.25,0.5))),IF(ABS((F8-C8)-(D8-C8))&lt;=3,0.25,0)))))</f>
        <v>0.5</v>
      </c>
      <c r="J8" s="137">
        <f t="shared" ref="J8:J38" si="2">IF(E8="",0.5,IF(ABS(F8-E8)&lt;=2,0.5,(IF((F8-C8)*(E8-C8)&gt;=0,IF(F8-C8&gt;6,IF(ABS(ABS(F8-C8)-ABS(E8-C8))&gt;6,0,IF(ABS(ABS(F8-C8)-ABS(E8-C8))&gt;3,0.25,0.5)),IF(ABS(ABS(F8-C8)-ABS(E8-C8))&gt;4,0,IF(ABS(ABS(F8-C8)-ABS(E8-C8))&gt;2,0.25,0.5))),IF(ABS((F8-C8)-(E8-C8))&lt;=3,0.25,0)))))</f>
        <v>0.5</v>
      </c>
      <c r="K8" s="129">
        <f t="shared" ref="K8:K38" si="3">+I8+G8</f>
        <v>1</v>
      </c>
      <c r="L8" s="130">
        <f t="shared" ref="L8:L38" si="4">+J8+H8</f>
        <v>1</v>
      </c>
      <c r="N8" s="147">
        <f>AVERAGE(K8:K38)</f>
        <v>1</v>
      </c>
      <c r="O8" s="148">
        <f>AVERAGE(L8:L38)</f>
        <v>1</v>
      </c>
    </row>
    <row r="9" spans="2:20" ht="14.25" customHeight="1" x14ac:dyDescent="0.25">
      <c r="B9" s="123">
        <f t="shared" ref="B9:B38" si="5">B8+1</f>
        <v>2</v>
      </c>
      <c r="C9" s="131" t="str">
        <f>IF(ISBLANK(Data!O6),"",Data!O6)</f>
        <v/>
      </c>
      <c r="D9" s="132" t="str">
        <f>IF(ISBLANK(Data!U45),"",IF(MIN(ABS(Data!U45+1-Data!O7),ABS(Data!U45-Data!O7),ABS(Data!U45-1-Data!O7))=ABS(Data!U45+1-Data!O7),Data!U45+1,IF(MIN(ABS(Data!U45+1-Data!O7),ABS(Data!U45-Data!O7),ABS(Data!U45-1-Data!O7))=ABS(Data!U45-Data!O7),Data!U45,IF(MIN(ABS(Data!U45+1-Data!O7),ABS(Data!U45-Data!O7),ABS(Data!U45-1-Data!O7))=ABS(Data!U45-1-Data!O7),Data!U45-1,""))))</f>
        <v/>
      </c>
      <c r="E9" s="133" t="str">
        <f>IF(ISBLANK(Data!V44),"",IF(MIN(ABS(Data!V44+1-Data!O7),ABS(Data!V44-Data!O7),ABS(Data!V44-1-Data!O7))=ABS(Data!V44+1-Data!O7),Data!V44+1,IF(MIN(ABS(Data!V44+1-Data!O7),ABS(Data!V44-Data!O7),ABS(Data!V44-1-Data!O7))=ABS(Data!V44-Data!O7),Data!V44,IF(MIN(ABS(Data!V44+1-Data!O7),ABS(Data!V44-Data!O7),ABS(Data!V44-1-Data!O7))=ABS(Data!V44-1-Data!O7),Data!V44-1,""))))</f>
        <v/>
      </c>
      <c r="F9" s="134" t="str">
        <f>IF(ISBLANK(Data!O7),"",Data!O7)</f>
        <v/>
      </c>
      <c r="G9" s="135">
        <f>+IF(D9="",0.5,IF(ABS(F9-D9)&gt;=5,0,IF(ABS(F9-D9)&gt;=4,0.3,IF(ABS(F9-D9)&gt;=3,0.4,0.5))))</f>
        <v>0.5</v>
      </c>
      <c r="H9" s="136">
        <f t="shared" si="0"/>
        <v>0.5</v>
      </c>
      <c r="I9" s="137">
        <f t="shared" si="1"/>
        <v>0.5</v>
      </c>
      <c r="J9" s="137">
        <f t="shared" si="2"/>
        <v>0.5</v>
      </c>
      <c r="K9" s="84">
        <f t="shared" si="3"/>
        <v>1</v>
      </c>
      <c r="L9" s="138">
        <f t="shared" si="4"/>
        <v>1</v>
      </c>
      <c r="N9" s="3"/>
    </row>
    <row r="10" spans="2:20" ht="14.25" customHeight="1" x14ac:dyDescent="0.25">
      <c r="B10" s="123">
        <f t="shared" si="5"/>
        <v>3</v>
      </c>
      <c r="C10" s="131" t="str">
        <f>IF(ISBLANK(Data!O7),"",Data!O7)</f>
        <v/>
      </c>
      <c r="D10" s="132" t="str">
        <f>IF(ISBLANK(Data!U46),"",IF(MIN(ABS(Data!U46+1-Data!O8),ABS(Data!U46-Data!O8),ABS(Data!U46-1-Data!O8))=ABS(Data!U46+1-Data!O8),Data!U46+1,IF(MIN(ABS(Data!U46+1-Data!O8),ABS(Data!U46-Data!O8),ABS(Data!U46-1-Data!O8))=ABS(Data!U46-Data!O8),Data!U46,IF(MIN(ABS(Data!U46+1-Data!O8),ABS(Data!U46-Data!O8),ABS(Data!U46-1-Data!O8))=ABS(Data!U46-1-Data!O8),Data!U46-1,""))))</f>
        <v/>
      </c>
      <c r="E10" s="133" t="str">
        <f>IF(ISBLANK(Data!V45),"",IF(MIN(ABS(Data!V45+1-Data!O8),ABS(Data!V45-Data!O8),ABS(Data!V45-1-Data!O8))=ABS(Data!V45+1-Data!O8),Data!V45+1,IF(MIN(ABS(Data!V45+1-Data!O8),ABS(Data!V45-Data!O8),ABS(Data!V45-1-Data!O8))=ABS(Data!V45-Data!O8),Data!V45,IF(MIN(ABS(Data!V45+1-Data!O8),ABS(Data!V45-Data!O8),ABS(Data!V45-1-Data!O8))=ABS(Data!V45-1-Data!O8),Data!V45-1,""))))</f>
        <v/>
      </c>
      <c r="F10" s="134" t="str">
        <f>IF(ISBLANK(Data!O8),"",Data!O8)</f>
        <v/>
      </c>
      <c r="G10" s="135">
        <f t="shared" ref="G10:G38" si="6">+IF(D10="",0.5,IF(ABS(F10-D10)&gt;=5,0,IF(ABS(F10-D10)&gt;=4,0.3,IF(ABS(F10-D10)&gt;=3,0.4,0.5))))</f>
        <v>0.5</v>
      </c>
      <c r="H10" s="136">
        <f t="shared" si="0"/>
        <v>0.5</v>
      </c>
      <c r="I10" s="137">
        <f t="shared" si="1"/>
        <v>0.5</v>
      </c>
      <c r="J10" s="137">
        <f t="shared" si="2"/>
        <v>0.5</v>
      </c>
      <c r="K10" s="84">
        <f t="shared" si="3"/>
        <v>1</v>
      </c>
      <c r="L10" s="138">
        <f t="shared" si="4"/>
        <v>1</v>
      </c>
      <c r="N10" s="3"/>
    </row>
    <row r="11" spans="2:20" ht="14.25" customHeight="1" x14ac:dyDescent="0.25">
      <c r="B11" s="123">
        <f t="shared" si="5"/>
        <v>4</v>
      </c>
      <c r="C11" s="131" t="str">
        <f>IF(ISBLANK(Data!O8),"",Data!O8)</f>
        <v/>
      </c>
      <c r="D11" s="132" t="str">
        <f>IF(ISBLANK(Data!U47),"",IF(MIN(ABS(Data!U47+1-Data!O9),ABS(Data!U47-Data!O9),ABS(Data!U47-1-Data!O9))=ABS(Data!U47+1-Data!O9),Data!U47+1,IF(MIN(ABS(Data!U47+1-Data!O9),ABS(Data!U47-Data!O9),ABS(Data!U47-1-Data!O9))=ABS(Data!U47-Data!O9),Data!U47,IF(MIN(ABS(Data!U47+1-Data!O9),ABS(Data!U47-Data!O9),ABS(Data!U47-1-Data!O9))=ABS(Data!U47-1-Data!O9),Data!U47-1,""))))</f>
        <v/>
      </c>
      <c r="E11" s="133" t="str">
        <f>IF(ISBLANK(Data!V46),"",IF(MIN(ABS(Data!V46+1-Data!O9),ABS(Data!V46-Data!O9),ABS(Data!V46-1-Data!O9))=ABS(Data!V46+1-Data!O9),Data!V46+1,IF(MIN(ABS(Data!V46+1-Data!O9),ABS(Data!V46-Data!O9),ABS(Data!V46-1-Data!O9))=ABS(Data!V46-Data!O9),Data!V46,IF(MIN(ABS(Data!V46+1-Data!O9),ABS(Data!V46-Data!O9),ABS(Data!V46-1-Data!O9))=ABS(Data!V46-1-Data!O9),Data!V46-1,""))))</f>
        <v/>
      </c>
      <c r="F11" s="134" t="str">
        <f>IF(ISBLANK(Data!O9),"",Data!O9)</f>
        <v/>
      </c>
      <c r="G11" s="135">
        <f t="shared" si="6"/>
        <v>0.5</v>
      </c>
      <c r="H11" s="136">
        <f t="shared" si="0"/>
        <v>0.5</v>
      </c>
      <c r="I11" s="137">
        <f t="shared" si="1"/>
        <v>0.5</v>
      </c>
      <c r="J11" s="137">
        <f t="shared" si="2"/>
        <v>0.5</v>
      </c>
      <c r="K11" s="84">
        <f t="shared" si="3"/>
        <v>1</v>
      </c>
      <c r="L11" s="138">
        <f t="shared" si="4"/>
        <v>1</v>
      </c>
      <c r="N11" s="3"/>
    </row>
    <row r="12" spans="2:20" ht="14.25" customHeight="1" x14ac:dyDescent="0.25">
      <c r="B12" s="123">
        <f t="shared" si="5"/>
        <v>5</v>
      </c>
      <c r="C12" s="131" t="str">
        <f>IF(ISBLANK(Data!O9),"",Data!O9)</f>
        <v/>
      </c>
      <c r="D12" s="132" t="str">
        <f>IF(ISBLANK(Data!U48),"",IF(MIN(ABS(Data!U48+1-Data!O10),ABS(Data!U48-Data!O10),ABS(Data!U48-1-Data!O10))=ABS(Data!U48+1-Data!O10),Data!U48+1,IF(MIN(ABS(Data!U48+1-Data!O10),ABS(Data!U48-Data!O10),ABS(Data!U48-1-Data!O10))=ABS(Data!U48-Data!O10),Data!U48,IF(MIN(ABS(Data!U48+1-Data!O10),ABS(Data!U48-Data!O10),ABS(Data!U48-1-Data!O10))=ABS(Data!U48-1-Data!O10),Data!U48-1,""))))</f>
        <v/>
      </c>
      <c r="E12" s="133" t="str">
        <f>IF(ISBLANK(Data!V47),"",IF(MIN(ABS(Data!V47+1-Data!O10),ABS(Data!V47-Data!O10),ABS(Data!V47-1-Data!O10))=ABS(Data!V47+1-Data!O10),Data!V47+1,IF(MIN(ABS(Data!V47+1-Data!O10),ABS(Data!V47-Data!O10),ABS(Data!V47-1-Data!O10))=ABS(Data!V47-Data!O10),Data!V47,IF(MIN(ABS(Data!V47+1-Data!O10),ABS(Data!V47-Data!O10),ABS(Data!V47-1-Data!O10))=ABS(Data!V47-1-Data!O10),Data!V47-1,""))))</f>
        <v/>
      </c>
      <c r="F12" s="134" t="str">
        <f>IF(ISBLANK(Data!O10),"",Data!O10)</f>
        <v/>
      </c>
      <c r="G12" s="135">
        <f t="shared" si="6"/>
        <v>0.5</v>
      </c>
      <c r="H12" s="136">
        <f t="shared" si="0"/>
        <v>0.5</v>
      </c>
      <c r="I12" s="137">
        <f t="shared" si="1"/>
        <v>0.5</v>
      </c>
      <c r="J12" s="137">
        <f t="shared" si="2"/>
        <v>0.5</v>
      </c>
      <c r="K12" s="84">
        <f t="shared" si="3"/>
        <v>1</v>
      </c>
      <c r="L12" s="138">
        <f t="shared" si="4"/>
        <v>1</v>
      </c>
      <c r="N12" s="3"/>
    </row>
    <row r="13" spans="2:20" ht="14.25" customHeight="1" x14ac:dyDescent="0.25">
      <c r="B13" s="123">
        <f t="shared" si="5"/>
        <v>6</v>
      </c>
      <c r="C13" s="131" t="str">
        <f>IF(ISBLANK(Data!O10),"",Data!O10)</f>
        <v/>
      </c>
      <c r="D13" s="132" t="str">
        <f>IF(ISBLANK(Data!U49),"",IF(MIN(ABS(Data!U49+1-Data!O11),ABS(Data!U49-Data!O11),ABS(Data!U49-1-Data!O11))=ABS(Data!U49+1-Data!O11),Data!U49+1,IF(MIN(ABS(Data!U49+1-Data!O11),ABS(Data!U49-Data!O11),ABS(Data!U49-1-Data!O11))=ABS(Data!U49-Data!O11),Data!U49,IF(MIN(ABS(Data!U49+1-Data!O11),ABS(Data!U49-Data!O11),ABS(Data!U49-1-Data!O11))=ABS(Data!U49-1-Data!O11),Data!U49-1,""))))</f>
        <v/>
      </c>
      <c r="E13" s="133" t="str">
        <f>IF(ISBLANK(Data!V48),"",IF(MIN(ABS(Data!V48+1-Data!O11),ABS(Data!V48-Data!O11),ABS(Data!V48-1-Data!O11))=ABS(Data!V48+1-Data!O11),Data!V48+1,IF(MIN(ABS(Data!V48+1-Data!O11),ABS(Data!V48-Data!O11),ABS(Data!V48-1-Data!O11))=ABS(Data!V48-Data!O11),Data!V48,IF(MIN(ABS(Data!V48+1-Data!O11),ABS(Data!V48-Data!O11),ABS(Data!V48-1-Data!O11))=ABS(Data!V48-1-Data!O11),Data!V48-1,""))))</f>
        <v/>
      </c>
      <c r="F13" s="134" t="str">
        <f>IF(ISBLANK(Data!O11),"",Data!O11)</f>
        <v/>
      </c>
      <c r="G13" s="135">
        <f t="shared" si="6"/>
        <v>0.5</v>
      </c>
      <c r="H13" s="136">
        <f t="shared" si="0"/>
        <v>0.5</v>
      </c>
      <c r="I13" s="137">
        <f t="shared" si="1"/>
        <v>0.5</v>
      </c>
      <c r="J13" s="137">
        <f t="shared" si="2"/>
        <v>0.5</v>
      </c>
      <c r="K13" s="84">
        <f t="shared" si="3"/>
        <v>1</v>
      </c>
      <c r="L13" s="138">
        <f t="shared" si="4"/>
        <v>1</v>
      </c>
      <c r="N13" s="3"/>
    </row>
    <row r="14" spans="2:20" ht="14.25" customHeight="1" x14ac:dyDescent="0.25">
      <c r="B14" s="123">
        <f t="shared" si="5"/>
        <v>7</v>
      </c>
      <c r="C14" s="131" t="str">
        <f>IF(ISBLANK(Data!O11),"",Data!O11)</f>
        <v/>
      </c>
      <c r="D14" s="132" t="str">
        <f>IF(ISBLANK(Data!U50),"",IF(MIN(ABS(Data!U50+1-Data!O12),ABS(Data!U50-Data!O12),ABS(Data!U50-1-Data!O12))=ABS(Data!U50+1-Data!O12),Data!U50+1,IF(MIN(ABS(Data!U50+1-Data!O12),ABS(Data!U50-Data!O12),ABS(Data!U50-1-Data!O12))=ABS(Data!U50-Data!O12),Data!U50,IF(MIN(ABS(Data!U50+1-Data!O12),ABS(Data!U50-Data!O12),ABS(Data!U50-1-Data!O12))=ABS(Data!U50-1-Data!O12),Data!U50-1,""))))</f>
        <v/>
      </c>
      <c r="E14" s="133" t="str">
        <f>IF(ISBLANK(Data!V49),"",IF(MIN(ABS(Data!V49+1-Data!O12),ABS(Data!V49-Data!O12),ABS(Data!V49-1-Data!O12))=ABS(Data!V49+1-Data!O12),Data!V49+1,IF(MIN(ABS(Data!V49+1-Data!O12),ABS(Data!V49-Data!O12),ABS(Data!V49-1-Data!O12))=ABS(Data!V49-Data!O12),Data!V49,IF(MIN(ABS(Data!V49+1-Data!O12),ABS(Data!V49-Data!O12),ABS(Data!V49-1-Data!O12))=ABS(Data!V49-1-Data!O12),Data!V49-1,""))))</f>
        <v/>
      </c>
      <c r="F14" s="134" t="str">
        <f>IF(ISBLANK(Data!O12),"",Data!O12)</f>
        <v/>
      </c>
      <c r="G14" s="135">
        <f t="shared" si="6"/>
        <v>0.5</v>
      </c>
      <c r="H14" s="136">
        <f t="shared" si="0"/>
        <v>0.5</v>
      </c>
      <c r="I14" s="137">
        <f t="shared" si="1"/>
        <v>0.5</v>
      </c>
      <c r="J14" s="137">
        <f t="shared" si="2"/>
        <v>0.5</v>
      </c>
      <c r="K14" s="84">
        <f t="shared" si="3"/>
        <v>1</v>
      </c>
      <c r="L14" s="138">
        <f t="shared" si="4"/>
        <v>1</v>
      </c>
      <c r="N14" s="3"/>
    </row>
    <row r="15" spans="2:20" ht="14.25" customHeight="1" x14ac:dyDescent="0.25">
      <c r="B15" s="123">
        <f t="shared" si="5"/>
        <v>8</v>
      </c>
      <c r="C15" s="131" t="str">
        <f>IF(ISBLANK(Data!O12),"",Data!O12)</f>
        <v/>
      </c>
      <c r="D15" s="132" t="str">
        <f>IF(ISBLANK(Data!U51),"",IF(MIN(ABS(Data!U51+1-Data!O13),ABS(Data!U51-Data!O13),ABS(Data!U51-1-Data!O13))=ABS(Data!U51+1-Data!O13),Data!U51+1,IF(MIN(ABS(Data!U51+1-Data!O13),ABS(Data!U51-Data!O13),ABS(Data!U51-1-Data!O13))=ABS(Data!U51-Data!O13),Data!U51,IF(MIN(ABS(Data!U51+1-Data!O13),ABS(Data!U51-Data!O13),ABS(Data!U51-1-Data!O13))=ABS(Data!U51-1-Data!O13),Data!U51-1,""))))</f>
        <v/>
      </c>
      <c r="E15" s="133" t="str">
        <f>IF(ISBLANK(Data!V50),"",IF(MIN(ABS(Data!V50+1-Data!O13),ABS(Data!V50-Data!O13),ABS(Data!V50-1-Data!O13))=ABS(Data!V50+1-Data!O13),Data!V50+1,IF(MIN(ABS(Data!V50+1-Data!O13),ABS(Data!V50-Data!O13),ABS(Data!V50-1-Data!O13))=ABS(Data!V50-Data!O13),Data!V50,IF(MIN(ABS(Data!V50+1-Data!O13),ABS(Data!V50-Data!O13),ABS(Data!V50-1-Data!O13))=ABS(Data!V50-1-Data!O13),Data!V50-1,""))))</f>
        <v/>
      </c>
      <c r="F15" s="134" t="str">
        <f>IF(ISBLANK(Data!O13),"",Data!O13)</f>
        <v/>
      </c>
      <c r="G15" s="135">
        <f t="shared" si="6"/>
        <v>0.5</v>
      </c>
      <c r="H15" s="136">
        <f t="shared" si="0"/>
        <v>0.5</v>
      </c>
      <c r="I15" s="137">
        <f t="shared" si="1"/>
        <v>0.5</v>
      </c>
      <c r="J15" s="137">
        <f t="shared" si="2"/>
        <v>0.5</v>
      </c>
      <c r="K15" s="84">
        <f t="shared" si="3"/>
        <v>1</v>
      </c>
      <c r="L15" s="138">
        <f t="shared" si="4"/>
        <v>1</v>
      </c>
      <c r="N15" s="3"/>
      <c r="P15" s="5" t="str">
        <f>IF(ISBLANK(Data!U44),"",IF(MIN(ABS(Data!U4+1-Data!O6),ABS(Data!U4-Data!O6),ABS(Data!U4-1-Data!O6))=ABS(Data!U4+1-Data!O6),Data!U4+1,IF(MIN(ABS(Data!U4+1-Data!O6),ABS(Data!U4-Data!O6),ABS(Data!U4-1-Data!O6))=ABS(Data!U4-Data!O6),Data!U4,IF(MIN(ABS(Data!U4+1-Data!O6),ABS(Data!U4-Data!O6),ABS(Data!U4-1-Data!O6))=ABS(Data!U4-1-Data!O6),Data!U4-1,""))))</f>
        <v/>
      </c>
    </row>
    <row r="16" spans="2:20" ht="14.25" customHeight="1" x14ac:dyDescent="0.25">
      <c r="B16" s="123">
        <f t="shared" si="5"/>
        <v>9</v>
      </c>
      <c r="C16" s="131" t="str">
        <f>IF(ISBLANK(Data!O13),"",Data!O13)</f>
        <v/>
      </c>
      <c r="D16" s="132" t="str">
        <f>IF(ISBLANK(Data!U52),"",IF(MIN(ABS(Data!U52+1-Data!O14),ABS(Data!U52-Data!O14),ABS(Data!U52-1-Data!O14))=ABS(Data!U52+1-Data!O14),Data!U52+1,IF(MIN(ABS(Data!U52+1-Data!O14),ABS(Data!U52-Data!O14),ABS(Data!U52-1-Data!O14))=ABS(Data!U52-Data!O14),Data!U52,IF(MIN(ABS(Data!U52+1-Data!O14),ABS(Data!U52-Data!O14),ABS(Data!U52-1-Data!O14))=ABS(Data!U52-1-Data!O14),Data!U52-1,""))))</f>
        <v/>
      </c>
      <c r="E16" s="133" t="str">
        <f>IF(ISBLANK(Data!V51),"",IF(MIN(ABS(Data!V51+1-Data!O14),ABS(Data!V51-Data!O14),ABS(Data!V51-1-Data!O14))=ABS(Data!V51+1-Data!O14),Data!V51+1,IF(MIN(ABS(Data!V51+1-Data!O14),ABS(Data!V51-Data!O14),ABS(Data!V51-1-Data!O14))=ABS(Data!V51-Data!O14),Data!V51,IF(MIN(ABS(Data!V51+1-Data!O14),ABS(Data!V51-Data!O14),ABS(Data!V51-1-Data!O14))=ABS(Data!V51-1-Data!O14),Data!V51-1,""))))</f>
        <v/>
      </c>
      <c r="F16" s="134" t="str">
        <f>IF(ISBLANK(Data!O14),"",Data!O14)</f>
        <v/>
      </c>
      <c r="G16" s="135">
        <f t="shared" si="6"/>
        <v>0.5</v>
      </c>
      <c r="H16" s="136">
        <f t="shared" si="0"/>
        <v>0.5</v>
      </c>
      <c r="I16" s="137">
        <f t="shared" si="1"/>
        <v>0.5</v>
      </c>
      <c r="J16" s="137">
        <f t="shared" si="2"/>
        <v>0.5</v>
      </c>
      <c r="K16" s="84">
        <f t="shared" si="3"/>
        <v>1</v>
      </c>
      <c r="L16" s="138">
        <f t="shared" si="4"/>
        <v>1</v>
      </c>
      <c r="N16" s="3"/>
    </row>
    <row r="17" spans="2:14" ht="14.25" customHeight="1" x14ac:dyDescent="0.25">
      <c r="B17" s="123">
        <f t="shared" si="5"/>
        <v>10</v>
      </c>
      <c r="C17" s="131" t="str">
        <f>IF(ISBLANK(Data!O14),"",Data!O14)</f>
        <v/>
      </c>
      <c r="D17" s="132" t="str">
        <f>IF(ISBLANK(Data!U53),"",IF(MIN(ABS(Data!U53+1-Data!O15),ABS(Data!U53-Data!O15),ABS(Data!U53-1-Data!O15))=ABS(Data!U53+1-Data!O15),Data!U53+1,IF(MIN(ABS(Data!U53+1-Data!O15),ABS(Data!U53-Data!O15),ABS(Data!U53-1-Data!O15))=ABS(Data!U53-Data!O15),Data!U53,IF(MIN(ABS(Data!U53+1-Data!O15),ABS(Data!U53-Data!O15),ABS(Data!U53-1-Data!O15))=ABS(Data!U53-1-Data!O15),Data!U53-1,""))))</f>
        <v/>
      </c>
      <c r="E17" s="133" t="str">
        <f>IF(ISBLANK(Data!V52),"",IF(MIN(ABS(Data!V52+1-Data!O15),ABS(Data!V52-Data!O15),ABS(Data!V52-1-Data!O15))=ABS(Data!V52+1-Data!O15),Data!V52+1,IF(MIN(ABS(Data!V52+1-Data!O15),ABS(Data!V52-Data!O15),ABS(Data!V52-1-Data!O15))=ABS(Data!V52-Data!O15),Data!V52,IF(MIN(ABS(Data!V52+1-Data!O15),ABS(Data!V52-Data!O15),ABS(Data!V52-1-Data!O15))=ABS(Data!V52-1-Data!O15),Data!V52-1,""))))</f>
        <v/>
      </c>
      <c r="F17" s="134" t="str">
        <f>IF(ISBLANK(Data!O15),"",Data!O15)</f>
        <v/>
      </c>
      <c r="G17" s="135">
        <f t="shared" si="6"/>
        <v>0.5</v>
      </c>
      <c r="H17" s="136">
        <f t="shared" si="0"/>
        <v>0.5</v>
      </c>
      <c r="I17" s="137">
        <f t="shared" si="1"/>
        <v>0.5</v>
      </c>
      <c r="J17" s="137">
        <f t="shared" si="2"/>
        <v>0.5</v>
      </c>
      <c r="K17" s="84">
        <f t="shared" si="3"/>
        <v>1</v>
      </c>
      <c r="L17" s="138">
        <f t="shared" si="4"/>
        <v>1</v>
      </c>
      <c r="N17" s="3"/>
    </row>
    <row r="18" spans="2:14" ht="14.25" customHeight="1" x14ac:dyDescent="0.25">
      <c r="B18" s="123">
        <f t="shared" si="5"/>
        <v>11</v>
      </c>
      <c r="C18" s="131" t="str">
        <f>IF(ISBLANK(Data!O15),"",Data!O15)</f>
        <v/>
      </c>
      <c r="D18" s="132" t="str">
        <f>IF(ISBLANK(Data!U54),"",IF(MIN(ABS(Data!U54+1-Data!O16),ABS(Data!U54-Data!O16),ABS(Data!U54-1-Data!O16))=ABS(Data!U54+1-Data!O16),Data!U54+1,IF(MIN(ABS(Data!U54+1-Data!O16),ABS(Data!U54-Data!O16),ABS(Data!U54-1-Data!O16))=ABS(Data!U54-Data!O16),Data!U54,IF(MIN(ABS(Data!U54+1-Data!O16),ABS(Data!U54-Data!O16),ABS(Data!U54-1-Data!O16))=ABS(Data!U54-1-Data!O16),Data!U54-1,""))))</f>
        <v/>
      </c>
      <c r="E18" s="133" t="str">
        <f>IF(ISBLANK(Data!V53),"",IF(MIN(ABS(Data!V53+1-Data!O16),ABS(Data!V53-Data!O16),ABS(Data!V53-1-Data!O16))=ABS(Data!V53+1-Data!O16),Data!V53+1,IF(MIN(ABS(Data!V53+1-Data!O16),ABS(Data!V53-Data!O16),ABS(Data!V53-1-Data!O16))=ABS(Data!V53-Data!O16),Data!V53,IF(MIN(ABS(Data!V53+1-Data!O16),ABS(Data!V53-Data!O16),ABS(Data!V53-1-Data!O16))=ABS(Data!V53-1-Data!O16),Data!V53-1,""))))</f>
        <v/>
      </c>
      <c r="F18" s="134" t="str">
        <f>IF(ISBLANK(Data!O16),"",Data!O16)</f>
        <v/>
      </c>
      <c r="G18" s="135">
        <f t="shared" si="6"/>
        <v>0.5</v>
      </c>
      <c r="H18" s="136">
        <f t="shared" si="0"/>
        <v>0.5</v>
      </c>
      <c r="I18" s="137">
        <f t="shared" si="1"/>
        <v>0.5</v>
      </c>
      <c r="J18" s="137">
        <f t="shared" si="2"/>
        <v>0.5</v>
      </c>
      <c r="K18" s="84">
        <f t="shared" si="3"/>
        <v>1</v>
      </c>
      <c r="L18" s="138">
        <f t="shared" si="4"/>
        <v>1</v>
      </c>
      <c r="N18" s="3"/>
    </row>
    <row r="19" spans="2:14" ht="14.25" customHeight="1" x14ac:dyDescent="0.25">
      <c r="B19" s="123">
        <f t="shared" si="5"/>
        <v>12</v>
      </c>
      <c r="C19" s="131" t="str">
        <f>IF(ISBLANK(Data!O16),"",Data!O16)</f>
        <v/>
      </c>
      <c r="D19" s="132" t="str">
        <f>IF(ISBLANK(Data!U55),"",IF(MIN(ABS(Data!U55+1-Data!O17),ABS(Data!U55-Data!O17),ABS(Data!U55-1-Data!O17))=ABS(Data!U55+1-Data!O17),Data!U55+1,IF(MIN(ABS(Data!U55+1-Data!O17),ABS(Data!U55-Data!O17),ABS(Data!U55-1-Data!O17))=ABS(Data!U55-Data!O17),Data!U55,IF(MIN(ABS(Data!U55+1-Data!O17),ABS(Data!U55-Data!O17),ABS(Data!U55-1-Data!O17))=ABS(Data!U55-1-Data!O17),Data!U55-1,""))))</f>
        <v/>
      </c>
      <c r="E19" s="133" t="str">
        <f>IF(ISBLANK(Data!V54),"",IF(MIN(ABS(Data!V54+1-Data!O17),ABS(Data!V54-Data!O17),ABS(Data!V54-1-Data!O17))=ABS(Data!V54+1-Data!O17),Data!V54+1,IF(MIN(ABS(Data!V54+1-Data!O17),ABS(Data!V54-Data!O17),ABS(Data!V54-1-Data!O17))=ABS(Data!V54-Data!O17),Data!V54,IF(MIN(ABS(Data!V54+1-Data!O17),ABS(Data!V54-Data!O17),ABS(Data!V54-1-Data!O17))=ABS(Data!V54-1-Data!O17),Data!V54-1,""))))</f>
        <v/>
      </c>
      <c r="F19" s="134" t="str">
        <f>IF(ISBLANK(Data!O17),"",Data!O17)</f>
        <v/>
      </c>
      <c r="G19" s="135">
        <f t="shared" si="6"/>
        <v>0.5</v>
      </c>
      <c r="H19" s="136">
        <f t="shared" si="0"/>
        <v>0.5</v>
      </c>
      <c r="I19" s="137">
        <f t="shared" si="1"/>
        <v>0.5</v>
      </c>
      <c r="J19" s="137">
        <f t="shared" si="2"/>
        <v>0.5</v>
      </c>
      <c r="K19" s="84">
        <f t="shared" si="3"/>
        <v>1</v>
      </c>
      <c r="L19" s="138">
        <f t="shared" si="4"/>
        <v>1</v>
      </c>
      <c r="N19" s="3"/>
    </row>
    <row r="20" spans="2:14" ht="14.25" customHeight="1" x14ac:dyDescent="0.25">
      <c r="B20" s="123">
        <f t="shared" si="5"/>
        <v>13</v>
      </c>
      <c r="C20" s="131" t="str">
        <f>IF(ISBLANK(Data!O17),"",Data!O17)</f>
        <v/>
      </c>
      <c r="D20" s="132" t="str">
        <f>IF(ISBLANK(Data!U56),"",IF(MIN(ABS(Data!U56+1-Data!O18),ABS(Data!U56-Data!O18),ABS(Data!U56-1-Data!O18))=ABS(Data!U56+1-Data!O18),Data!U56+1,IF(MIN(ABS(Data!U56+1-Data!O18),ABS(Data!U56-Data!O18),ABS(Data!U56-1-Data!O18))=ABS(Data!U56-Data!O18),Data!U56,IF(MIN(ABS(Data!U56+1-Data!O18),ABS(Data!U56-Data!O18),ABS(Data!U56-1-Data!O18))=ABS(Data!U56-1-Data!O18),Data!U56-1,""))))</f>
        <v/>
      </c>
      <c r="E20" s="133" t="str">
        <f>IF(ISBLANK(Data!V55),"",IF(MIN(ABS(Data!V55+1-Data!O18),ABS(Data!V55-Data!O18),ABS(Data!V55-1-Data!O18))=ABS(Data!V55+1-Data!O18),Data!V55+1,IF(MIN(ABS(Data!V55+1-Data!O18),ABS(Data!V55-Data!O18),ABS(Data!V55-1-Data!O18))=ABS(Data!V55-Data!O18),Data!V55,IF(MIN(ABS(Data!V55+1-Data!O18),ABS(Data!V55-Data!O18),ABS(Data!V55-1-Data!O18))=ABS(Data!V55-1-Data!O18),Data!V55-1,""))))</f>
        <v/>
      </c>
      <c r="F20" s="134" t="str">
        <f>IF(ISBLANK(Data!O18),"",Data!O18)</f>
        <v/>
      </c>
      <c r="G20" s="135">
        <f t="shared" si="6"/>
        <v>0.5</v>
      </c>
      <c r="H20" s="136">
        <f t="shared" si="0"/>
        <v>0.5</v>
      </c>
      <c r="I20" s="137">
        <f t="shared" si="1"/>
        <v>0.5</v>
      </c>
      <c r="J20" s="137">
        <f t="shared" si="2"/>
        <v>0.5</v>
      </c>
      <c r="K20" s="84">
        <f t="shared" si="3"/>
        <v>1</v>
      </c>
      <c r="L20" s="138">
        <f t="shared" si="4"/>
        <v>1</v>
      </c>
      <c r="N20" s="3"/>
    </row>
    <row r="21" spans="2:14" ht="14.25" customHeight="1" x14ac:dyDescent="0.25">
      <c r="B21" s="123">
        <f t="shared" si="5"/>
        <v>14</v>
      </c>
      <c r="C21" s="131" t="str">
        <f>IF(ISBLANK(Data!O18),"",Data!O18)</f>
        <v/>
      </c>
      <c r="D21" s="132" t="str">
        <f>IF(ISBLANK(Data!U57),"",IF(MIN(ABS(Data!U57+1-Data!O19),ABS(Data!U57-Data!O19),ABS(Data!U57-1-Data!O19))=ABS(Data!U57+1-Data!O19),Data!U57+1,IF(MIN(ABS(Data!U57+1-Data!O19),ABS(Data!U57-Data!O19),ABS(Data!U57-1-Data!O19))=ABS(Data!U57-Data!O19),Data!U57,IF(MIN(ABS(Data!U57+1-Data!O19),ABS(Data!U57-Data!O19),ABS(Data!U57-1-Data!O19))=ABS(Data!U57-1-Data!O19),Data!U57-1,""))))</f>
        <v/>
      </c>
      <c r="E21" s="133" t="str">
        <f>IF(ISBLANK(Data!V56),"",IF(MIN(ABS(Data!V56+1-Data!O19),ABS(Data!V56-Data!O19),ABS(Data!V56-1-Data!O19))=ABS(Data!V56+1-Data!O19),Data!V56+1,IF(MIN(ABS(Data!V56+1-Data!O19),ABS(Data!V56-Data!O19),ABS(Data!V56-1-Data!O19))=ABS(Data!V56-Data!O19),Data!V56,IF(MIN(ABS(Data!V56+1-Data!O19),ABS(Data!V56-Data!O19),ABS(Data!V56-1-Data!O19))=ABS(Data!V56-1-Data!O19),Data!V56-1,""))))</f>
        <v/>
      </c>
      <c r="F21" s="134" t="str">
        <f>IF(ISBLANK(Data!O19),"",Data!O19)</f>
        <v/>
      </c>
      <c r="G21" s="135">
        <f t="shared" si="6"/>
        <v>0.5</v>
      </c>
      <c r="H21" s="136">
        <f t="shared" si="0"/>
        <v>0.5</v>
      </c>
      <c r="I21" s="137">
        <f t="shared" si="1"/>
        <v>0.5</v>
      </c>
      <c r="J21" s="137">
        <f t="shared" si="2"/>
        <v>0.5</v>
      </c>
      <c r="K21" s="84">
        <f t="shared" si="3"/>
        <v>1</v>
      </c>
      <c r="L21" s="138">
        <f t="shared" si="4"/>
        <v>1</v>
      </c>
      <c r="N21" s="3"/>
    </row>
    <row r="22" spans="2:14" ht="14.25" customHeight="1" x14ac:dyDescent="0.25">
      <c r="B22" s="123">
        <f t="shared" si="5"/>
        <v>15</v>
      </c>
      <c r="C22" s="131" t="str">
        <f>IF(ISBLANK(Data!O19),"",Data!O19)</f>
        <v/>
      </c>
      <c r="D22" s="132" t="str">
        <f>IF(ISBLANK(Data!U58),"",IF(MIN(ABS(Data!U58+1-Data!O20),ABS(Data!U58-Data!O20),ABS(Data!U58-1-Data!O20))=ABS(Data!U58+1-Data!O20),Data!U58+1,IF(MIN(ABS(Data!U58+1-Data!O20),ABS(Data!U58-Data!O20),ABS(Data!U58-1-Data!O20))=ABS(Data!U58-Data!O20),Data!U58,IF(MIN(ABS(Data!U58+1-Data!O20),ABS(Data!U58-Data!O20),ABS(Data!U58-1-Data!O20))=ABS(Data!U58-1-Data!O20),Data!U58-1,""))))</f>
        <v/>
      </c>
      <c r="E22" s="133" t="str">
        <f>IF(ISBLANK(Data!V57),"",IF(MIN(ABS(Data!V57+1-Data!O20),ABS(Data!V57-Data!O20),ABS(Data!V57-1-Data!O20))=ABS(Data!V57+1-Data!O20),Data!V57+1,IF(MIN(ABS(Data!V57+1-Data!O20),ABS(Data!V57-Data!O20),ABS(Data!V57-1-Data!O20))=ABS(Data!V57-Data!O20),Data!V57,IF(MIN(ABS(Data!V57+1-Data!O20),ABS(Data!V57-Data!O20),ABS(Data!V57-1-Data!O20))=ABS(Data!V57-1-Data!O20),Data!V57-1,""))))</f>
        <v/>
      </c>
      <c r="F22" s="134" t="str">
        <f>IF(ISBLANK(Data!O20),"",Data!O20)</f>
        <v/>
      </c>
      <c r="G22" s="135">
        <f t="shared" si="6"/>
        <v>0.5</v>
      </c>
      <c r="H22" s="136">
        <f t="shared" si="0"/>
        <v>0.5</v>
      </c>
      <c r="I22" s="137">
        <f t="shared" si="1"/>
        <v>0.5</v>
      </c>
      <c r="J22" s="137">
        <f t="shared" si="2"/>
        <v>0.5</v>
      </c>
      <c r="K22" s="84">
        <f t="shared" si="3"/>
        <v>1</v>
      </c>
      <c r="L22" s="138">
        <f t="shared" si="4"/>
        <v>1</v>
      </c>
      <c r="N22" s="3"/>
    </row>
    <row r="23" spans="2:14" ht="14.25" customHeight="1" x14ac:dyDescent="0.25">
      <c r="B23" s="123">
        <f t="shared" si="5"/>
        <v>16</v>
      </c>
      <c r="C23" s="131" t="str">
        <f>IF(ISBLANK(Data!O20),"",Data!O20)</f>
        <v/>
      </c>
      <c r="D23" s="132" t="str">
        <f>IF(ISBLANK(Data!U59),"",IF(MIN(ABS(Data!U59+1-Data!O21),ABS(Data!U59-Data!O21),ABS(Data!U59-1-Data!O21))=ABS(Data!U59+1-Data!O21),Data!U59+1,IF(MIN(ABS(Data!U59+1-Data!O21),ABS(Data!U59-Data!O21),ABS(Data!U59-1-Data!O21))=ABS(Data!U59-Data!O21),Data!U59,IF(MIN(ABS(Data!U59+1-Data!O21),ABS(Data!U59-Data!O21),ABS(Data!U59-1-Data!O21))=ABS(Data!U59-1-Data!O21),Data!U59-1,""))))</f>
        <v/>
      </c>
      <c r="E23" s="133" t="str">
        <f>IF(ISBLANK(Data!V58),"",IF(MIN(ABS(Data!V58+1-Data!O21),ABS(Data!V58-Data!O21),ABS(Data!V58-1-Data!O21))=ABS(Data!V58+1-Data!O21),Data!V58+1,IF(MIN(ABS(Data!V58+1-Data!O21),ABS(Data!V58-Data!O21),ABS(Data!V58-1-Data!O21))=ABS(Data!V58-Data!O21),Data!V58,IF(MIN(ABS(Data!V58+1-Data!O21),ABS(Data!V58-Data!O21),ABS(Data!V58-1-Data!O21))=ABS(Data!V58-1-Data!O21),Data!V58-1,""))))</f>
        <v/>
      </c>
      <c r="F23" s="134" t="str">
        <f>IF(ISBLANK(Data!O21),"",Data!O21)</f>
        <v/>
      </c>
      <c r="G23" s="135">
        <f t="shared" si="6"/>
        <v>0.5</v>
      </c>
      <c r="H23" s="136">
        <f t="shared" si="0"/>
        <v>0.5</v>
      </c>
      <c r="I23" s="137">
        <f t="shared" si="1"/>
        <v>0.5</v>
      </c>
      <c r="J23" s="137">
        <f t="shared" si="2"/>
        <v>0.5</v>
      </c>
      <c r="K23" s="84">
        <f t="shared" si="3"/>
        <v>1</v>
      </c>
      <c r="L23" s="138">
        <f t="shared" si="4"/>
        <v>1</v>
      </c>
      <c r="N23" s="3"/>
    </row>
    <row r="24" spans="2:14" ht="14.25" customHeight="1" x14ac:dyDescent="0.25">
      <c r="B24" s="123">
        <f t="shared" si="5"/>
        <v>17</v>
      </c>
      <c r="C24" s="131" t="str">
        <f>IF(ISBLANK(Data!O21),"",Data!O21)</f>
        <v/>
      </c>
      <c r="D24" s="132" t="str">
        <f>IF(ISBLANK(Data!U60),"",IF(MIN(ABS(Data!U60+1-Data!O22),ABS(Data!U60-Data!O22),ABS(Data!U60-1-Data!O22))=ABS(Data!U60+1-Data!O22),Data!U60+1,IF(MIN(ABS(Data!U60+1-Data!O22),ABS(Data!U60-Data!O22),ABS(Data!U60-1-Data!O22))=ABS(Data!U60-Data!O22),Data!U60,IF(MIN(ABS(Data!U60+1-Data!O22),ABS(Data!U60-Data!O22),ABS(Data!U60-1-Data!O22))=ABS(Data!U60-1-Data!O22),Data!U60-1,""))))</f>
        <v/>
      </c>
      <c r="E24" s="133" t="str">
        <f>IF(ISBLANK(Data!V59),"",IF(MIN(ABS(Data!V59+1-Data!O22),ABS(Data!V59-Data!O22),ABS(Data!V59-1-Data!O22))=ABS(Data!V59+1-Data!O22),Data!V59+1,IF(MIN(ABS(Data!V59+1-Data!O22),ABS(Data!V59-Data!O22),ABS(Data!V59-1-Data!O22))=ABS(Data!V59-Data!O22),Data!V59,IF(MIN(ABS(Data!V59+1-Data!O22),ABS(Data!V59-Data!O22),ABS(Data!V59-1-Data!O22))=ABS(Data!V59-1-Data!O22),Data!V59-1,""))))</f>
        <v/>
      </c>
      <c r="F24" s="134" t="str">
        <f>IF(ISBLANK(Data!O22),"",Data!O22)</f>
        <v/>
      </c>
      <c r="G24" s="135">
        <f t="shared" si="6"/>
        <v>0.5</v>
      </c>
      <c r="H24" s="136">
        <f t="shared" si="0"/>
        <v>0.5</v>
      </c>
      <c r="I24" s="137">
        <f t="shared" si="1"/>
        <v>0.5</v>
      </c>
      <c r="J24" s="137">
        <f t="shared" si="2"/>
        <v>0.5</v>
      </c>
      <c r="K24" s="84">
        <f t="shared" si="3"/>
        <v>1</v>
      </c>
      <c r="L24" s="138">
        <f t="shared" si="4"/>
        <v>1</v>
      </c>
      <c r="N24" s="3"/>
    </row>
    <row r="25" spans="2:14" ht="14.25" customHeight="1" x14ac:dyDescent="0.25">
      <c r="B25" s="123">
        <f t="shared" si="5"/>
        <v>18</v>
      </c>
      <c r="C25" s="131" t="str">
        <f>IF(ISBLANK(Data!O22),"",Data!O22)</f>
        <v/>
      </c>
      <c r="D25" s="132" t="str">
        <f>IF(ISBLANK(Data!U61),"",IF(MIN(ABS(Data!U61+1-Data!O23),ABS(Data!U61-Data!O23),ABS(Data!U61-1-Data!O23))=ABS(Data!U61+1-Data!O23),Data!U61+1,IF(MIN(ABS(Data!U61+1-Data!O23),ABS(Data!U61-Data!O23),ABS(Data!U61-1-Data!O23))=ABS(Data!U61-Data!O23),Data!U61,IF(MIN(ABS(Data!U61+1-Data!O23),ABS(Data!U61-Data!O23),ABS(Data!U61-1-Data!O23))=ABS(Data!U61-1-Data!O23),Data!U61-1,""))))</f>
        <v/>
      </c>
      <c r="E25" s="133" t="str">
        <f>IF(ISBLANK(Data!V60),"",IF(MIN(ABS(Data!V60+1-Data!O23),ABS(Data!V60-Data!O23),ABS(Data!V60-1-Data!O23))=ABS(Data!V60+1-Data!O23),Data!V60+1,IF(MIN(ABS(Data!V60+1-Data!O23),ABS(Data!V60-Data!O23),ABS(Data!V60-1-Data!O23))=ABS(Data!V60-Data!O23),Data!V60,IF(MIN(ABS(Data!V60+1-Data!O23),ABS(Data!V60-Data!O23),ABS(Data!V60-1-Data!O23))=ABS(Data!V60-1-Data!O23),Data!V60-1,""))))</f>
        <v/>
      </c>
      <c r="F25" s="134" t="str">
        <f>IF(ISBLANK(Data!O23),"",Data!O23)</f>
        <v/>
      </c>
      <c r="G25" s="135">
        <f t="shared" si="6"/>
        <v>0.5</v>
      </c>
      <c r="H25" s="136">
        <f t="shared" si="0"/>
        <v>0.5</v>
      </c>
      <c r="I25" s="137">
        <f t="shared" si="1"/>
        <v>0.5</v>
      </c>
      <c r="J25" s="137">
        <f t="shared" si="2"/>
        <v>0.5</v>
      </c>
      <c r="K25" s="84">
        <f t="shared" si="3"/>
        <v>1</v>
      </c>
      <c r="L25" s="138">
        <f t="shared" si="4"/>
        <v>1</v>
      </c>
      <c r="N25" s="3"/>
    </row>
    <row r="26" spans="2:14" ht="14.25" customHeight="1" x14ac:dyDescent="0.25">
      <c r="B26" s="123">
        <f t="shared" si="5"/>
        <v>19</v>
      </c>
      <c r="C26" s="131" t="str">
        <f>IF(ISBLANK(Data!O23),"",Data!O23)</f>
        <v/>
      </c>
      <c r="D26" s="132" t="str">
        <f>IF(ISBLANK(Data!U62),"",IF(MIN(ABS(Data!U62+1-Data!O24),ABS(Data!U62-Data!O24),ABS(Data!U62-1-Data!O24))=ABS(Data!U62+1-Data!O24),Data!U62+1,IF(MIN(ABS(Data!U62+1-Data!O24),ABS(Data!U62-Data!O24),ABS(Data!U62-1-Data!O24))=ABS(Data!U62-Data!O24),Data!U62,IF(MIN(ABS(Data!U62+1-Data!O24),ABS(Data!U62-Data!O24),ABS(Data!U62-1-Data!O24))=ABS(Data!U62-1-Data!O24),Data!U62-1,""))))</f>
        <v/>
      </c>
      <c r="E26" s="133" t="str">
        <f>IF(ISBLANK(Data!V61),"",IF(MIN(ABS(Data!V61+1-Data!O24),ABS(Data!V61-Data!O24),ABS(Data!V61-1-Data!O24))=ABS(Data!V61+1-Data!O24),Data!V61+1,IF(MIN(ABS(Data!V61+1-Data!O24),ABS(Data!V61-Data!O24),ABS(Data!V61-1-Data!O24))=ABS(Data!V61-Data!O24),Data!V61,IF(MIN(ABS(Data!V61+1-Data!O24),ABS(Data!V61-Data!O24),ABS(Data!V61-1-Data!O24))=ABS(Data!V61-1-Data!O24),Data!V61-1,""))))</f>
        <v/>
      </c>
      <c r="F26" s="134" t="str">
        <f>IF(ISBLANK(Data!O24),"",Data!O24)</f>
        <v/>
      </c>
      <c r="G26" s="135">
        <f t="shared" si="6"/>
        <v>0.5</v>
      </c>
      <c r="H26" s="136">
        <f t="shared" si="0"/>
        <v>0.5</v>
      </c>
      <c r="I26" s="137">
        <f t="shared" si="1"/>
        <v>0.5</v>
      </c>
      <c r="J26" s="137">
        <f t="shared" si="2"/>
        <v>0.5</v>
      </c>
      <c r="K26" s="84">
        <f t="shared" si="3"/>
        <v>1</v>
      </c>
      <c r="L26" s="138">
        <f t="shared" si="4"/>
        <v>1</v>
      </c>
      <c r="N26" s="3"/>
    </row>
    <row r="27" spans="2:14" ht="14.25" customHeight="1" x14ac:dyDescent="0.25">
      <c r="B27" s="123">
        <f t="shared" si="5"/>
        <v>20</v>
      </c>
      <c r="C27" s="131" t="str">
        <f>IF(ISBLANK(Data!O24),"",Data!O24)</f>
        <v/>
      </c>
      <c r="D27" s="132" t="str">
        <f>IF(ISBLANK(Data!U63),"",IF(MIN(ABS(Data!U63+1-Data!O25),ABS(Data!U63-Data!O25),ABS(Data!U63-1-Data!O25))=ABS(Data!U63+1-Data!O25),Data!U63+1,IF(MIN(ABS(Data!U63+1-Data!O25),ABS(Data!U63-Data!O25),ABS(Data!U63-1-Data!O25))=ABS(Data!U63-Data!O25),Data!U63,IF(MIN(ABS(Data!U63+1-Data!O25),ABS(Data!U63-Data!O25),ABS(Data!U63-1-Data!O25))=ABS(Data!U63-1-Data!O25),Data!U63-1,""))))</f>
        <v/>
      </c>
      <c r="E27" s="133" t="str">
        <f>IF(ISBLANK(Data!V62),"",IF(MIN(ABS(Data!V62+1-Data!O25),ABS(Data!V62-Data!O25),ABS(Data!V62-1-Data!O25))=ABS(Data!V62+1-Data!O25),Data!V62+1,IF(MIN(ABS(Data!V62+1-Data!O25),ABS(Data!V62-Data!O25),ABS(Data!V62-1-Data!O25))=ABS(Data!V62-Data!O25),Data!V62,IF(MIN(ABS(Data!V62+1-Data!O25),ABS(Data!V62-Data!O25),ABS(Data!V62-1-Data!O25))=ABS(Data!V62-1-Data!O25),Data!V62-1,""))))</f>
        <v/>
      </c>
      <c r="F27" s="134" t="str">
        <f>IF(ISBLANK(Data!O25),"",Data!O25)</f>
        <v/>
      </c>
      <c r="G27" s="135">
        <f t="shared" si="6"/>
        <v>0.5</v>
      </c>
      <c r="H27" s="136">
        <f t="shared" si="0"/>
        <v>0.5</v>
      </c>
      <c r="I27" s="137">
        <f t="shared" si="1"/>
        <v>0.5</v>
      </c>
      <c r="J27" s="137">
        <f t="shared" si="2"/>
        <v>0.5</v>
      </c>
      <c r="K27" s="84">
        <f t="shared" si="3"/>
        <v>1</v>
      </c>
      <c r="L27" s="138">
        <f t="shared" si="4"/>
        <v>1</v>
      </c>
      <c r="N27" s="3"/>
    </row>
    <row r="28" spans="2:14" ht="14.25" customHeight="1" x14ac:dyDescent="0.25">
      <c r="B28" s="123">
        <f t="shared" si="5"/>
        <v>21</v>
      </c>
      <c r="C28" s="131" t="str">
        <f>IF(ISBLANK(Data!O25),"",Data!O25)</f>
        <v/>
      </c>
      <c r="D28" s="132" t="str">
        <f>IF(ISBLANK(Data!U64),"",IF(MIN(ABS(Data!U64+1-Data!O26),ABS(Data!U64-Data!O26),ABS(Data!U64-1-Data!O26))=ABS(Data!U64+1-Data!O26),Data!U64+1,IF(MIN(ABS(Data!U64+1-Data!O26),ABS(Data!U64-Data!O26),ABS(Data!U64-1-Data!O26))=ABS(Data!U64-Data!O26),Data!U64,IF(MIN(ABS(Data!U64+1-Data!O26),ABS(Data!U64-Data!O26),ABS(Data!U64-1-Data!O26))=ABS(Data!U64-1-Data!O26),Data!U64-1,""))))</f>
        <v/>
      </c>
      <c r="E28" s="133" t="str">
        <f>IF(ISBLANK(Data!V63),"",IF(MIN(ABS(Data!V63+1-Data!O26),ABS(Data!V63-Data!O26),ABS(Data!V63-1-Data!O26))=ABS(Data!V63+1-Data!O26),Data!V63+1,IF(MIN(ABS(Data!V63+1-Data!O26),ABS(Data!V63-Data!O26),ABS(Data!V63-1-Data!O26))=ABS(Data!V63-Data!O26),Data!V63,IF(MIN(ABS(Data!V63+1-Data!O26),ABS(Data!V63-Data!O26),ABS(Data!V63-1-Data!O26))=ABS(Data!V63-1-Data!O26),Data!V63-1,""))))</f>
        <v/>
      </c>
      <c r="F28" s="134" t="str">
        <f>IF(ISBLANK(Data!O26),"",Data!O26)</f>
        <v/>
      </c>
      <c r="G28" s="135">
        <f t="shared" si="6"/>
        <v>0.5</v>
      </c>
      <c r="H28" s="136">
        <f t="shared" si="0"/>
        <v>0.5</v>
      </c>
      <c r="I28" s="137">
        <f t="shared" si="1"/>
        <v>0.5</v>
      </c>
      <c r="J28" s="137">
        <f t="shared" si="2"/>
        <v>0.5</v>
      </c>
      <c r="K28" s="84">
        <f t="shared" si="3"/>
        <v>1</v>
      </c>
      <c r="L28" s="138">
        <f t="shared" si="4"/>
        <v>1</v>
      </c>
      <c r="N28" s="3"/>
    </row>
    <row r="29" spans="2:14" ht="14.25" customHeight="1" x14ac:dyDescent="0.25">
      <c r="B29" s="123">
        <f t="shared" si="5"/>
        <v>22</v>
      </c>
      <c r="C29" s="131" t="str">
        <f>IF(ISBLANK(Data!O26),"",Data!O26)</f>
        <v/>
      </c>
      <c r="D29" s="132" t="str">
        <f>IF(ISBLANK(Data!U65),"",IF(MIN(ABS(Data!U65+1-Data!O27),ABS(Data!U65-Data!O27),ABS(Data!U65-1-Data!O27))=ABS(Data!U65+1-Data!O27),Data!U65+1,IF(MIN(ABS(Data!U65+1-Data!O27),ABS(Data!U65-Data!O27),ABS(Data!U65-1-Data!O27))=ABS(Data!U65-Data!O27),Data!U65,IF(MIN(ABS(Data!U65+1-Data!O27),ABS(Data!U65-Data!O27),ABS(Data!U65-1-Data!O27))=ABS(Data!U65-1-Data!O27),Data!U65-1,""))))</f>
        <v/>
      </c>
      <c r="E29" s="133" t="str">
        <f>IF(ISBLANK(Data!V64),"",IF(MIN(ABS(Data!V64+1-Data!O27),ABS(Data!V64-Data!O27),ABS(Data!V64-1-Data!O27))=ABS(Data!V64+1-Data!O27),Data!V64+1,IF(MIN(ABS(Data!V64+1-Data!O27),ABS(Data!V64-Data!O27),ABS(Data!V64-1-Data!O27))=ABS(Data!V64-Data!O27),Data!V64,IF(MIN(ABS(Data!V64+1-Data!O27),ABS(Data!V64-Data!O27),ABS(Data!V64-1-Data!O27))=ABS(Data!V64-1-Data!O27),Data!V64-1,""))))</f>
        <v/>
      </c>
      <c r="F29" s="134" t="str">
        <f>IF(ISBLANK(Data!O27),"",Data!O27)</f>
        <v/>
      </c>
      <c r="G29" s="135">
        <f t="shared" si="6"/>
        <v>0.5</v>
      </c>
      <c r="H29" s="136">
        <f t="shared" si="0"/>
        <v>0.5</v>
      </c>
      <c r="I29" s="137">
        <f t="shared" si="1"/>
        <v>0.5</v>
      </c>
      <c r="J29" s="137">
        <f t="shared" si="2"/>
        <v>0.5</v>
      </c>
      <c r="K29" s="84">
        <f t="shared" si="3"/>
        <v>1</v>
      </c>
      <c r="L29" s="138">
        <f t="shared" si="4"/>
        <v>1</v>
      </c>
      <c r="N29" s="3"/>
    </row>
    <row r="30" spans="2:14" ht="14.25" customHeight="1" x14ac:dyDescent="0.25">
      <c r="B30" s="123">
        <f t="shared" si="5"/>
        <v>23</v>
      </c>
      <c r="C30" s="131" t="str">
        <f>IF(ISBLANK(Data!O27),"",Data!O27)</f>
        <v/>
      </c>
      <c r="D30" s="132" t="str">
        <f>IF(ISBLANK(Data!U66),"",IF(MIN(ABS(Data!U66+1-Data!O28),ABS(Data!U66-Data!O28),ABS(Data!U66-1-Data!O28))=ABS(Data!U66+1-Data!O28),Data!U66+1,IF(MIN(ABS(Data!U66+1-Data!O28),ABS(Data!U66-Data!O28),ABS(Data!U66-1-Data!O28))=ABS(Data!U66-Data!O28),Data!U66,IF(MIN(ABS(Data!U66+1-Data!O28),ABS(Data!U66-Data!O28),ABS(Data!U66-1-Data!O28))=ABS(Data!U66-1-Data!O28),Data!U66-1,""))))</f>
        <v/>
      </c>
      <c r="E30" s="133" t="str">
        <f>IF(ISBLANK(Data!V65),"",IF(MIN(ABS(Data!V65+1-Data!O28),ABS(Data!V65-Data!O28),ABS(Data!V65-1-Data!O28))=ABS(Data!V65+1-Data!O28),Data!V65+1,IF(MIN(ABS(Data!V65+1-Data!O28),ABS(Data!V65-Data!O28),ABS(Data!V65-1-Data!O28))=ABS(Data!V65-Data!O28),Data!V65,IF(MIN(ABS(Data!V65+1-Data!O28),ABS(Data!V65-Data!O28),ABS(Data!V65-1-Data!O28))=ABS(Data!V65-1-Data!O28),Data!V65-1,""))))</f>
        <v/>
      </c>
      <c r="F30" s="134" t="str">
        <f>IF(ISBLANK(Data!O28),"",Data!O28)</f>
        <v/>
      </c>
      <c r="G30" s="135">
        <f t="shared" si="6"/>
        <v>0.5</v>
      </c>
      <c r="H30" s="136">
        <f t="shared" si="0"/>
        <v>0.5</v>
      </c>
      <c r="I30" s="137">
        <f t="shared" si="1"/>
        <v>0.5</v>
      </c>
      <c r="J30" s="137">
        <f t="shared" si="2"/>
        <v>0.5</v>
      </c>
      <c r="K30" s="84">
        <f t="shared" si="3"/>
        <v>1</v>
      </c>
      <c r="L30" s="138">
        <f t="shared" si="4"/>
        <v>1</v>
      </c>
      <c r="N30" s="3"/>
    </row>
    <row r="31" spans="2:14" ht="14.25" customHeight="1" x14ac:dyDescent="0.25">
      <c r="B31" s="123">
        <f t="shared" si="5"/>
        <v>24</v>
      </c>
      <c r="C31" s="131" t="str">
        <f>IF(ISBLANK(Data!O28),"",Data!O28)</f>
        <v/>
      </c>
      <c r="D31" s="132" t="str">
        <f>IF(ISBLANK(Data!U67),"",IF(MIN(ABS(Data!U67+1-Data!O29),ABS(Data!U67-Data!O29),ABS(Data!U67-1-Data!O29))=ABS(Data!U67+1-Data!O29),Data!U67+1,IF(MIN(ABS(Data!U67+1-Data!O29),ABS(Data!U67-Data!O29),ABS(Data!U67-1-Data!O29))=ABS(Data!U67-Data!O29),Data!U67,IF(MIN(ABS(Data!U67+1-Data!O29),ABS(Data!U67-Data!O29),ABS(Data!U67-1-Data!O29))=ABS(Data!U67-1-Data!O29),Data!U67-1,""))))</f>
        <v/>
      </c>
      <c r="E31" s="133" t="str">
        <f>IF(ISBLANK(Data!V66),"",IF(MIN(ABS(Data!V66+1-Data!O29),ABS(Data!V66-Data!O29),ABS(Data!V66-1-Data!O29))=ABS(Data!V66+1-Data!O29),Data!V66+1,IF(MIN(ABS(Data!V66+1-Data!O29),ABS(Data!V66-Data!O29),ABS(Data!V66-1-Data!O29))=ABS(Data!V66-Data!O29),Data!V66,IF(MIN(ABS(Data!V66+1-Data!O29),ABS(Data!V66-Data!O29),ABS(Data!V66-1-Data!O29))=ABS(Data!V66-1-Data!O29),Data!V66-1,""))))</f>
        <v/>
      </c>
      <c r="F31" s="134" t="str">
        <f>IF(ISBLANK(Data!O29),"",Data!O29)</f>
        <v/>
      </c>
      <c r="G31" s="135">
        <f t="shared" si="6"/>
        <v>0.5</v>
      </c>
      <c r="H31" s="136">
        <f t="shared" si="0"/>
        <v>0.5</v>
      </c>
      <c r="I31" s="137">
        <f t="shared" si="1"/>
        <v>0.5</v>
      </c>
      <c r="J31" s="137">
        <f t="shared" si="2"/>
        <v>0.5</v>
      </c>
      <c r="K31" s="84">
        <f t="shared" si="3"/>
        <v>1</v>
      </c>
      <c r="L31" s="138">
        <f t="shared" si="4"/>
        <v>1</v>
      </c>
      <c r="N31" s="3"/>
    </row>
    <row r="32" spans="2:14" ht="14.25" customHeight="1" x14ac:dyDescent="0.25">
      <c r="B32" s="123">
        <f t="shared" si="5"/>
        <v>25</v>
      </c>
      <c r="C32" s="131" t="str">
        <f>IF(ISBLANK(Data!O29),"",Data!O29)</f>
        <v/>
      </c>
      <c r="D32" s="132" t="str">
        <f>IF(ISBLANK(Data!U68),"",IF(MIN(ABS(Data!U68+1-Data!O30),ABS(Data!U68-Data!O30),ABS(Data!U68-1-Data!O30))=ABS(Data!U68+1-Data!O30),Data!U68+1,IF(MIN(ABS(Data!U68+1-Data!O30),ABS(Data!U68-Data!O30),ABS(Data!U68-1-Data!O30))=ABS(Data!U68-Data!O30),Data!U68,IF(MIN(ABS(Data!U68+1-Data!O30),ABS(Data!U68-Data!O30),ABS(Data!U68-1-Data!O30))=ABS(Data!U68-1-Data!O30),Data!U68-1,""))))</f>
        <v/>
      </c>
      <c r="E32" s="133" t="str">
        <f>IF(ISBLANK(Data!V67),"",IF(MIN(ABS(Data!V67+1-Data!O30),ABS(Data!V67-Data!O30),ABS(Data!V67-1-Data!O30))=ABS(Data!V67+1-Data!O30),Data!V67+1,IF(MIN(ABS(Data!V67+1-Data!O30),ABS(Data!V67-Data!O30),ABS(Data!V67-1-Data!O30))=ABS(Data!V67-Data!O30),Data!V67,IF(MIN(ABS(Data!V67+1-Data!O30),ABS(Data!V67-Data!O30),ABS(Data!V67-1-Data!O30))=ABS(Data!V67-1-Data!O30),Data!V67-1,""))))</f>
        <v/>
      </c>
      <c r="F32" s="134" t="str">
        <f>IF(ISBLANK(Data!O30),"",Data!O30)</f>
        <v/>
      </c>
      <c r="G32" s="135">
        <f t="shared" si="6"/>
        <v>0.5</v>
      </c>
      <c r="H32" s="136">
        <f t="shared" si="0"/>
        <v>0.5</v>
      </c>
      <c r="I32" s="137">
        <f t="shared" si="1"/>
        <v>0.5</v>
      </c>
      <c r="J32" s="137">
        <f t="shared" si="2"/>
        <v>0.5</v>
      </c>
      <c r="K32" s="84">
        <f t="shared" si="3"/>
        <v>1</v>
      </c>
      <c r="L32" s="138">
        <f t="shared" si="4"/>
        <v>1</v>
      </c>
      <c r="N32" s="3"/>
    </row>
    <row r="33" spans="2:14" ht="14.25" customHeight="1" x14ac:dyDescent="0.25">
      <c r="B33" s="123">
        <f t="shared" si="5"/>
        <v>26</v>
      </c>
      <c r="C33" s="131" t="str">
        <f>IF(ISBLANK(Data!O30),"",Data!O30)</f>
        <v/>
      </c>
      <c r="D33" s="132" t="str">
        <f>IF(ISBLANK(Data!U69),"",IF(MIN(ABS(Data!U69+1-Data!O31),ABS(Data!U69-Data!O31),ABS(Data!U69-1-Data!O31))=ABS(Data!U69+1-Data!O31),Data!U69+1,IF(MIN(ABS(Data!U69+1-Data!O31),ABS(Data!U69-Data!O31),ABS(Data!U69-1-Data!O31))=ABS(Data!U69-Data!O31),Data!U69,IF(MIN(ABS(Data!U69+1-Data!O31),ABS(Data!U69-Data!O31),ABS(Data!U69-1-Data!O31))=ABS(Data!U69-1-Data!O31),Data!U69-1,""))))</f>
        <v/>
      </c>
      <c r="E33" s="133" t="str">
        <f>IF(ISBLANK(Data!V68),"",IF(MIN(ABS(Data!V68+1-Data!O31),ABS(Data!V68-Data!O31),ABS(Data!V68-1-Data!O31))=ABS(Data!V68+1-Data!O31),Data!V68+1,IF(MIN(ABS(Data!V68+1-Data!O31),ABS(Data!V68-Data!O31),ABS(Data!V68-1-Data!O31))=ABS(Data!V68-Data!O31),Data!V68,IF(MIN(ABS(Data!V68+1-Data!O31),ABS(Data!V68-Data!O31),ABS(Data!V68-1-Data!O31))=ABS(Data!V68-1-Data!O31),Data!V68-1,""))))</f>
        <v/>
      </c>
      <c r="F33" s="134" t="str">
        <f>IF(ISBLANK(Data!O31),"",Data!O31)</f>
        <v/>
      </c>
      <c r="G33" s="135">
        <f t="shared" si="6"/>
        <v>0.5</v>
      </c>
      <c r="H33" s="136">
        <f t="shared" si="0"/>
        <v>0.5</v>
      </c>
      <c r="I33" s="137">
        <f t="shared" si="1"/>
        <v>0.5</v>
      </c>
      <c r="J33" s="137">
        <f t="shared" si="2"/>
        <v>0.5</v>
      </c>
      <c r="K33" s="84">
        <f t="shared" si="3"/>
        <v>1</v>
      </c>
      <c r="L33" s="138">
        <f t="shared" si="4"/>
        <v>1</v>
      </c>
      <c r="N33" s="3"/>
    </row>
    <row r="34" spans="2:14" ht="14.25" customHeight="1" x14ac:dyDescent="0.25">
      <c r="B34" s="123">
        <f t="shared" si="5"/>
        <v>27</v>
      </c>
      <c r="C34" s="131" t="str">
        <f>IF(ISBLANK(Data!O31),"",Data!O31)</f>
        <v/>
      </c>
      <c r="D34" s="132" t="str">
        <f>IF(ISBLANK(Data!U70),"",IF(MIN(ABS(Data!U70+1-Data!O32),ABS(Data!U70-Data!O32),ABS(Data!U70-1-Data!O32))=ABS(Data!U70+1-Data!O32),Data!U70+1,IF(MIN(ABS(Data!U70+1-Data!O32),ABS(Data!U70-Data!O32),ABS(Data!U70-1-Data!O32))=ABS(Data!U70-Data!O32),Data!U70,IF(MIN(ABS(Data!U70+1-Data!O32),ABS(Data!U70-Data!O32),ABS(Data!U70-1-Data!O32))=ABS(Data!U70-1-Data!O32),Data!U70-1,""))))</f>
        <v/>
      </c>
      <c r="E34" s="133" t="str">
        <f>IF(ISBLANK(Data!V69),"",IF(MIN(ABS(Data!V69+1-Data!O32),ABS(Data!V69-Data!O32),ABS(Data!V69-1-Data!O32))=ABS(Data!V69+1-Data!O32),Data!V69+1,IF(MIN(ABS(Data!V69+1-Data!O32),ABS(Data!V69-Data!O32),ABS(Data!V69-1-Data!O32))=ABS(Data!V69-Data!O32),Data!V69,IF(MIN(ABS(Data!V69+1-Data!O32),ABS(Data!V69-Data!O32),ABS(Data!V69-1-Data!O32))=ABS(Data!V69-1-Data!O32),Data!V69-1,""))))</f>
        <v/>
      </c>
      <c r="F34" s="134" t="str">
        <f>IF(ISBLANK(Data!O32),"",Data!O32)</f>
        <v/>
      </c>
      <c r="G34" s="135">
        <f t="shared" si="6"/>
        <v>0.5</v>
      </c>
      <c r="H34" s="136">
        <f t="shared" si="0"/>
        <v>0.5</v>
      </c>
      <c r="I34" s="137">
        <f t="shared" si="1"/>
        <v>0.5</v>
      </c>
      <c r="J34" s="137">
        <f t="shared" si="2"/>
        <v>0.5</v>
      </c>
      <c r="K34" s="84">
        <f t="shared" si="3"/>
        <v>1</v>
      </c>
      <c r="L34" s="138">
        <f t="shared" si="4"/>
        <v>1</v>
      </c>
      <c r="N34" s="3"/>
    </row>
    <row r="35" spans="2:14" ht="14.25" customHeight="1" x14ac:dyDescent="0.25">
      <c r="B35" s="123">
        <f t="shared" si="5"/>
        <v>28</v>
      </c>
      <c r="C35" s="131" t="str">
        <f>IF(ISBLANK(Data!O32),"",Data!O32)</f>
        <v/>
      </c>
      <c r="D35" s="132" t="str">
        <f>IF(ISBLANK(Data!U71),"",IF(MIN(ABS(Data!U71+1-Data!O33),ABS(Data!U71-Data!O33),ABS(Data!U71-1-Data!O33))=ABS(Data!U71+1-Data!O33),Data!U71+1,IF(MIN(ABS(Data!U71+1-Data!O33),ABS(Data!U71-Data!O33),ABS(Data!U71-1-Data!O33))=ABS(Data!U71-Data!O33),Data!U71,IF(MIN(ABS(Data!U71+1-Data!O33),ABS(Data!U71-Data!O33),ABS(Data!U71-1-Data!O33))=ABS(Data!U71-1-Data!O33),Data!U71-1,""))))</f>
        <v/>
      </c>
      <c r="E35" s="133" t="str">
        <f>IF(ISBLANK(Data!V70),"",IF(MIN(ABS(Data!V70+1-Data!O33),ABS(Data!V70-Data!O33),ABS(Data!V70-1-Data!O33))=ABS(Data!V70+1-Data!O33),Data!V70+1,IF(MIN(ABS(Data!V70+1-Data!O33),ABS(Data!V70-Data!O33),ABS(Data!V70-1-Data!O33))=ABS(Data!V70-Data!O33),Data!V70,IF(MIN(ABS(Data!V70+1-Data!O33),ABS(Data!V70-Data!O33),ABS(Data!V70-1-Data!O33))=ABS(Data!V70-1-Data!O33),Data!V70-1,""))))</f>
        <v/>
      </c>
      <c r="F35" s="134" t="str">
        <f>IF(ISBLANK(Data!O33),"",Data!O33)</f>
        <v/>
      </c>
      <c r="G35" s="135">
        <f t="shared" si="6"/>
        <v>0.5</v>
      </c>
      <c r="H35" s="136">
        <f t="shared" si="0"/>
        <v>0.5</v>
      </c>
      <c r="I35" s="137">
        <f t="shared" si="1"/>
        <v>0.5</v>
      </c>
      <c r="J35" s="137">
        <f t="shared" si="2"/>
        <v>0.5</v>
      </c>
      <c r="K35" s="84">
        <f t="shared" si="3"/>
        <v>1</v>
      </c>
      <c r="L35" s="138">
        <f t="shared" si="4"/>
        <v>1</v>
      </c>
      <c r="N35" s="3"/>
    </row>
    <row r="36" spans="2:14" ht="14.25" customHeight="1" x14ac:dyDescent="0.25">
      <c r="B36" s="123">
        <f t="shared" si="5"/>
        <v>29</v>
      </c>
      <c r="C36" s="131" t="str">
        <f>IF(ISBLANK(Data!O33),"",Data!O33)</f>
        <v/>
      </c>
      <c r="D36" s="132" t="str">
        <f>IF(ISBLANK(Data!U72),"",IF(MIN(ABS(Data!U72+1-Data!O34),ABS(Data!U72-Data!O34),ABS(Data!U72-1-Data!O34))=ABS(Data!U72+1-Data!O34),Data!U72+1,IF(MIN(ABS(Data!U72+1-Data!O34),ABS(Data!U72-Data!O34),ABS(Data!U72-1-Data!O34))=ABS(Data!U72-Data!O34),Data!U72,IF(MIN(ABS(Data!U72+1-Data!O34),ABS(Data!U72-Data!O34),ABS(Data!U72-1-Data!O34))=ABS(Data!U72-1-Data!O34),Data!U72-1,""))))</f>
        <v/>
      </c>
      <c r="E36" s="133" t="str">
        <f>IF(ISBLANK(Data!V71),"",IF(MIN(ABS(Data!V71+1-Data!O34),ABS(Data!V71-Data!O34),ABS(Data!V71-1-Data!O34))=ABS(Data!V71+1-Data!O34),Data!V71+1,IF(MIN(ABS(Data!V71+1-Data!O34),ABS(Data!V71-Data!O34),ABS(Data!V71-1-Data!O34))=ABS(Data!V71-Data!O34),Data!V71,IF(MIN(ABS(Data!V71+1-Data!O34),ABS(Data!V71-Data!O34),ABS(Data!V71-1-Data!O34))=ABS(Data!V71-1-Data!O34),Data!V71-1,""))))</f>
        <v/>
      </c>
      <c r="F36" s="134" t="str">
        <f>IF(ISBLANK(Data!O34),"",Data!O34)</f>
        <v/>
      </c>
      <c r="G36" s="135">
        <f t="shared" si="6"/>
        <v>0.5</v>
      </c>
      <c r="H36" s="136">
        <f t="shared" si="0"/>
        <v>0.5</v>
      </c>
      <c r="I36" s="137">
        <f t="shared" si="1"/>
        <v>0.5</v>
      </c>
      <c r="J36" s="137">
        <f t="shared" si="2"/>
        <v>0.5</v>
      </c>
      <c r="K36" s="84">
        <f t="shared" si="3"/>
        <v>1</v>
      </c>
      <c r="L36" s="138">
        <f t="shared" si="4"/>
        <v>1</v>
      </c>
      <c r="N36" s="3"/>
    </row>
    <row r="37" spans="2:14" ht="14.25" customHeight="1" x14ac:dyDescent="0.25">
      <c r="B37" s="139">
        <f t="shared" si="5"/>
        <v>30</v>
      </c>
      <c r="C37" s="131" t="str">
        <f>IF(ISBLANK(Data!O34),"",Data!O34)</f>
        <v/>
      </c>
      <c r="D37" s="132" t="str">
        <f>IF(ISBLANK(Data!U73),"",IF(MIN(ABS(Data!U73+1-Data!O35),ABS(Data!U73-Data!O35),ABS(Data!U73-1-Data!O35))=ABS(Data!U73+1-Data!O35),Data!U73+1,IF(MIN(ABS(Data!U73+1-Data!O35),ABS(Data!U73-Data!O35),ABS(Data!U73-1-Data!O35))=ABS(Data!U73-Data!O35),Data!U73,IF(MIN(ABS(Data!U73+1-Data!O35),ABS(Data!U73-Data!O35),ABS(Data!U73-1-Data!O35))=ABS(Data!U73-1-Data!O35),Data!U73-1,""))))</f>
        <v/>
      </c>
      <c r="E37" s="133" t="str">
        <f>IF(ISBLANK(Data!V72),"",IF(MIN(ABS(Data!V72+1-Data!O35),ABS(Data!V72-Data!O35),ABS(Data!V72-1-Data!O35))=ABS(Data!V72+1-Data!O35),Data!V72+1,IF(MIN(ABS(Data!V72+1-Data!O35),ABS(Data!V72-Data!O35),ABS(Data!V72-1-Data!O35))=ABS(Data!V72-Data!O35),Data!V72,IF(MIN(ABS(Data!V72+1-Data!O35),ABS(Data!V72-Data!O35),ABS(Data!V72-1-Data!O35))=ABS(Data!V72-1-Data!O35),Data!V72-1,""))))</f>
        <v/>
      </c>
      <c r="F37" s="134" t="str">
        <f>IF(ISBLANK(Data!O35),"",Data!O35)</f>
        <v/>
      </c>
      <c r="G37" s="135">
        <f t="shared" si="6"/>
        <v>0.5</v>
      </c>
      <c r="H37" s="136">
        <f t="shared" si="0"/>
        <v>0.5</v>
      </c>
      <c r="I37" s="137">
        <f t="shared" si="1"/>
        <v>0.5</v>
      </c>
      <c r="J37" s="137">
        <f t="shared" si="2"/>
        <v>0.5</v>
      </c>
      <c r="K37" s="84">
        <f t="shared" si="3"/>
        <v>1</v>
      </c>
      <c r="L37" s="138">
        <f t="shared" si="4"/>
        <v>1</v>
      </c>
      <c r="N37" s="3"/>
    </row>
    <row r="38" spans="2:14" ht="14.25" customHeight="1" thickBot="1" x14ac:dyDescent="0.3">
      <c r="B38" s="140">
        <f t="shared" si="5"/>
        <v>31</v>
      </c>
      <c r="C38" s="141" t="str">
        <f>IF(ISBLANK(Data!O35),"",Data!O35)</f>
        <v/>
      </c>
      <c r="D38" s="223" t="str">
        <f>IF(ISBLANK(Data!U74),"",IF(MIN(ABS(Data!U74+1-Data!O36),ABS(Data!U74-Data!O36),ABS(Data!U74-1-Data!O36))=ABS(Data!U74+1-Data!O36),Data!U74+1,IF(MIN(ABS(Data!U74+1-Data!O36),ABS(Data!U74-Data!O36),ABS(Data!U74-1-Data!O36))=ABS(Data!U74-Data!O36),Data!U74,IF(MIN(ABS(Data!U74+1-Data!O36),ABS(Data!U74-Data!O36),ABS(Data!U74-1-Data!O36))=ABS(Data!U74-1-Data!O36),Data!U74-1,""))))</f>
        <v/>
      </c>
      <c r="E38" s="222" t="str">
        <f>IF(ISBLANK(Data!V73),"",IF(MIN(ABS(Data!V73+1-Data!O36),ABS(Data!V73-Data!O36),ABS(Data!V73-1-Data!O36))=ABS(Data!V73+1-Data!O36),Data!V73+1,IF(MIN(ABS(Data!V73+1-Data!O36),ABS(Data!V73-Data!O36),ABS(Data!V73-1-Data!O36))=ABS(Data!V73-Data!O36),Data!V73,IF(MIN(ABS(Data!V73+1-Data!O36),ABS(Data!V73-Data!O36),ABS(Data!V73-1-Data!O36))=ABS(Data!V73-1-Data!O36),Data!V73-1,""))))</f>
        <v/>
      </c>
      <c r="F38" s="240" t="str">
        <f>IF(ISBLANK(Data!O36),"",Data!O36)</f>
        <v/>
      </c>
      <c r="G38" s="142">
        <f t="shared" si="6"/>
        <v>0.5</v>
      </c>
      <c r="H38" s="143">
        <f t="shared" si="0"/>
        <v>0.5</v>
      </c>
      <c r="I38" s="144">
        <f t="shared" si="1"/>
        <v>0.5</v>
      </c>
      <c r="J38" s="144">
        <f t="shared" si="2"/>
        <v>0.5</v>
      </c>
      <c r="K38" s="145">
        <f t="shared" si="3"/>
        <v>1</v>
      </c>
      <c r="L38" s="146">
        <f t="shared" si="4"/>
        <v>1</v>
      </c>
      <c r="N38" s="3"/>
    </row>
    <row r="39" spans="2:14" x14ac:dyDescent="0.25">
      <c r="D39" s="90"/>
      <c r="E39" s="90"/>
      <c r="N39" s="3"/>
    </row>
    <row r="40" spans="2:14" ht="30" customHeight="1" x14ac:dyDescent="0.25">
      <c r="N40" s="3"/>
    </row>
  </sheetData>
  <sheetProtection selectLockedCells="1" selectUnlockedCells="1"/>
  <mergeCells count="11">
    <mergeCell ref="N6:O7"/>
    <mergeCell ref="B2:E2"/>
    <mergeCell ref="H2:L2"/>
    <mergeCell ref="K5:K7"/>
    <mergeCell ref="L5:L7"/>
    <mergeCell ref="B5:B7"/>
    <mergeCell ref="C5:F6"/>
    <mergeCell ref="G5:G7"/>
    <mergeCell ref="H5:H7"/>
    <mergeCell ref="I5:I7"/>
    <mergeCell ref="J5:J7"/>
  </mergeCells>
  <conditionalFormatting sqref="K8:L38">
    <cfRule type="cellIs" dxfId="367" priority="19" operator="equal">
      <formula>1</formula>
    </cfRule>
    <cfRule type="cellIs" dxfId="366" priority="20" operator="between">
      <formula>0.8</formula>
      <formula>0.999</formula>
    </cfRule>
    <cfRule type="cellIs" dxfId="365" priority="21" operator="between">
      <formula>0.6</formula>
      <formula>0.7999</formula>
    </cfRule>
    <cfRule type="cellIs" dxfId="364" priority="22" operator="between">
      <formula>0.4</formula>
      <formula>0.5999</formula>
    </cfRule>
    <cfRule type="cellIs" dxfId="363" priority="23" operator="between">
      <formula>0.2</formula>
      <formula>0.3999</formula>
    </cfRule>
    <cfRule type="cellIs" dxfId="362" priority="24" operator="between">
      <formula>0</formula>
      <formula>0.1999</formula>
    </cfRule>
  </conditionalFormatting>
  <conditionalFormatting sqref="G8:H38">
    <cfRule type="colorScale" priority="18">
      <colorScale>
        <cfvo type="num" val="0"/>
        <cfvo type="num" val="0.5"/>
        <color rgb="FFFA9496"/>
        <color theme="3" tint="0.59999389629810485"/>
      </colorScale>
    </cfRule>
  </conditionalFormatting>
  <conditionalFormatting sqref="I8:J38">
    <cfRule type="colorScale" priority="17">
      <colorScale>
        <cfvo type="num" val="0"/>
        <cfvo type="num" val="0.5"/>
        <color theme="9" tint="0.39997558519241921"/>
        <color theme="6" tint="0.59999389629810485"/>
      </colorScale>
    </cfRule>
  </conditionalFormatting>
  <conditionalFormatting sqref="N8:O8">
    <cfRule type="cellIs" dxfId="361" priority="11" operator="equal">
      <formula>1</formula>
    </cfRule>
    <cfRule type="cellIs" dxfId="360" priority="12" operator="between">
      <formula>0.8</formula>
      <formula>0.999</formula>
    </cfRule>
    <cfRule type="cellIs" dxfId="359" priority="13" operator="between">
      <formula>0.6</formula>
      <formula>0.7999</formula>
    </cfRule>
    <cfRule type="cellIs" dxfId="358" priority="14" operator="between">
      <formula>0.4</formula>
      <formula>0.5999</formula>
    </cfRule>
    <cfRule type="cellIs" dxfId="357" priority="15" operator="between">
      <formula>0.2</formula>
      <formula>0.3999</formula>
    </cfRule>
    <cfRule type="cellIs" dxfId="356" priority="16" operator="between">
      <formula>0</formula>
      <formula>0.1999</formula>
    </cfRule>
  </conditionalFormatting>
  <conditionalFormatting sqref="C8:C38 F9:F38 E8:F8">
    <cfRule type="cellIs" dxfId="355" priority="10" operator="equal">
      <formula>""</formula>
    </cfRule>
  </conditionalFormatting>
  <conditionalFormatting sqref="D8:D38">
    <cfRule type="cellIs" dxfId="354" priority="6" operator="equal">
      <formula>""</formula>
    </cfRule>
  </conditionalFormatting>
  <conditionalFormatting sqref="E9:E38">
    <cfRule type="cellIs" dxfId="353" priority="1" operator="equal">
      <formula>""</formula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2B0A-9AE6-4254-946D-D4E17DE43366}">
  <dimension ref="B1:T44"/>
  <sheetViews>
    <sheetView topLeftCell="A4" zoomScaleNormal="100" workbookViewId="0">
      <selection activeCell="M27" sqref="M27"/>
    </sheetView>
  </sheetViews>
  <sheetFormatPr baseColWidth="10" defaultColWidth="11.42578125" defaultRowHeight="15" x14ac:dyDescent="0.25"/>
  <cols>
    <col min="1" max="1" customWidth="true" style="5" width="11.5703125" collapsed="true"/>
    <col min="2" max="6" customWidth="true" style="5" width="11.7109375" collapsed="true"/>
    <col min="7" max="7" customWidth="true" style="150" width="11.7109375" collapsed="true"/>
    <col min="8" max="8" customWidth="true" style="5" width="15.7109375" collapsed="true"/>
    <col min="9" max="9" style="5" width="11.42578125" collapsed="true"/>
    <col min="10" max="10" customWidth="true" style="5" width="17.28515625" collapsed="true"/>
    <col min="11" max="16384" style="5" width="11.42578125" collapsed="true"/>
  </cols>
  <sheetData>
    <row r="1" spans="2:20" ht="15.75" thickBot="1" x14ac:dyDescent="0.3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129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4" spans="2:20" ht="12.75" customHeight="1" thickBot="1" x14ac:dyDescent="0.3"/>
    <row r="5" spans="2:20" ht="13.5" customHeight="1" thickBot="1" x14ac:dyDescent="0.3">
      <c r="B5" s="385" t="s">
        <v>5</v>
      </c>
      <c r="C5" s="388" t="s">
        <v>85</v>
      </c>
      <c r="D5" s="389"/>
      <c r="E5" s="390"/>
      <c r="F5" s="309" t="s">
        <v>84</v>
      </c>
      <c r="G5" s="366" t="s">
        <v>82</v>
      </c>
      <c r="H5" s="369" t="s">
        <v>32</v>
      </c>
    </row>
    <row r="6" spans="2:20" ht="13.5" customHeight="1" thickBot="1" x14ac:dyDescent="0.3">
      <c r="B6" s="386"/>
      <c r="C6" s="391"/>
      <c r="D6" s="392"/>
      <c r="E6" s="393"/>
      <c r="F6" s="310"/>
      <c r="G6" s="367"/>
      <c r="H6" s="370"/>
    </row>
    <row r="7" spans="2:20" ht="24" customHeight="1" thickBot="1" x14ac:dyDescent="0.3">
      <c r="B7" s="387"/>
      <c r="C7" s="155" t="s">
        <v>103</v>
      </c>
      <c r="D7" s="156" t="s">
        <v>43</v>
      </c>
      <c r="E7" s="157" t="s">
        <v>104</v>
      </c>
      <c r="F7" s="394"/>
      <c r="G7" s="368"/>
      <c r="H7" s="384"/>
      <c r="J7" s="73" t="s">
        <v>45</v>
      </c>
    </row>
    <row r="8" spans="2:20" ht="14.25" customHeight="1" thickBot="1" x14ac:dyDescent="0.3">
      <c r="B8" s="158">
        <v>1</v>
      </c>
      <c r="C8" s="159"/>
      <c r="D8" s="160" t="str">
        <f>IF(ISBLANK(Data!W43),"",IF(MIN(ABS(Data!W43+1-Data!P6),ABS(Data!W43-Data!P6),ABS(Data!W43-1-Data!P6))=ABS(Data!W43+1-Data!P6),Data!W43+1,IF(MIN(ABS(Data!W43+1-Data!P6),ABS(Data!W43-Data!P6),ABS(Data!W43-1-Data!P6))=ABS(Data!W43-Data!P6),Data!W43,IF(MIN(ABS(Data!W43+1-Data!P6),ABS(Data!W43-Data!P6),ABS(Data!W43-1-Data!P6))=ABS(Data!W43-1-Data!P6),Data!W43-1,""))))</f>
        <v/>
      </c>
      <c r="E8" s="161" t="str">
        <f>IF(ISBLANK(Data!P6),"",Data!P6)</f>
        <v/>
      </c>
      <c r="F8" s="162">
        <f t="shared" ref="F8:F38" si="0">+IF(D8="",0.5,IF(ABS(E8-D8)&gt;=5,0,IF(ABS(E8-D8)&gt;=4,0.3,IF(ABS(E8-D8)&gt;=3,0.4,0.5))))</f>
        <v>0.5</v>
      </c>
      <c r="G8" s="163">
        <f t="shared" ref="G8:G38" si="1">IF(D8="",0.5,IF(ABS(E8-D8)&lt;=2,0.5,(IF((E8-C8)*(D8-C8)&gt;=0,IF(E8-C8&gt;6,IF(ABS(ABS(E8-C8)-ABS(D8-C8))&gt;6,0,IF(ABS(ABS(E8-C8)-ABS(D8-C8))&gt;3,0.25,0.5)),IF(ABS(ABS(E8-C8)-ABS(D8-C8))&gt;4,0,IF(ABS(ABS(E8-C8)-ABS(D8-C8))&gt;2,0.25,0.5))),IF(ABS((E8-C8)-(D8-C8))&lt;=3,0.25,0)))))</f>
        <v>0.5</v>
      </c>
      <c r="H8" s="164">
        <f t="shared" ref="H8:H38" si="2">+G8+F8</f>
        <v>1</v>
      </c>
      <c r="J8" s="147">
        <f>AVERAGE(H8:H38)</f>
        <v>1</v>
      </c>
    </row>
    <row r="9" spans="2:20" ht="14.25" customHeight="1" x14ac:dyDescent="0.25">
      <c r="B9" s="158">
        <f t="shared" ref="B9:B38" si="3">B8+1</f>
        <v>2</v>
      </c>
      <c r="C9" s="165" t="str">
        <f>IF(ISBLANK(Data!P6),"",Data!P6)</f>
        <v/>
      </c>
      <c r="D9" s="166" t="str">
        <f>IF(ISBLANK(Data!W44),"",IF(MIN(ABS(Data!W44+1-Data!P7),ABS(Data!W44-Data!P7),ABS(Data!W44-1-Data!P7))=ABS(Data!W44+1-Data!P7),Data!W44+1,IF(MIN(ABS(Data!W44+1-Data!P7),ABS(Data!W44-Data!P7),ABS(Data!W44-1-Data!P7))=ABS(Data!W44-Data!P7),Data!W44,IF(MIN(ABS(Data!W44+1-Data!P7),ABS(Data!W44-Data!P7),ABS(Data!W44-1-Data!P7))=ABS(Data!W44-1-Data!P7),Data!W44-1,""))))</f>
        <v/>
      </c>
      <c r="E9" s="167" t="str">
        <f>IF(ISBLANK(Data!P7),"",Data!P7)</f>
        <v/>
      </c>
      <c r="F9" s="168">
        <f t="shared" si="0"/>
        <v>0.5</v>
      </c>
      <c r="G9" s="169">
        <f t="shared" si="1"/>
        <v>0.5</v>
      </c>
      <c r="H9" s="170">
        <f t="shared" si="2"/>
        <v>1</v>
      </c>
      <c r="J9" s="3"/>
    </row>
    <row r="10" spans="2:20" ht="14.25" customHeight="1" x14ac:dyDescent="0.25">
      <c r="B10" s="158">
        <f t="shared" si="3"/>
        <v>3</v>
      </c>
      <c r="C10" s="165" t="str">
        <f>IF(ISBLANK(Data!P7),"",Data!P7)</f>
        <v/>
      </c>
      <c r="D10" s="166" t="str">
        <f>IF(ISBLANK(Data!W45),"",IF(MIN(ABS(Data!W45+1-Data!P8),ABS(Data!W45-Data!P8),ABS(Data!W45-1-Data!P8))=ABS(Data!W45+1-Data!P8),Data!W45+1,IF(MIN(ABS(Data!W45+1-Data!P8),ABS(Data!W45-Data!P8),ABS(Data!W45-1-Data!P8))=ABS(Data!W45-Data!P8),Data!W45,IF(MIN(ABS(Data!W45+1-Data!P8),ABS(Data!W45-Data!P8),ABS(Data!W45-1-Data!P8))=ABS(Data!W45-1-Data!P8),Data!W45-1,""))))</f>
        <v/>
      </c>
      <c r="E10" s="167" t="str">
        <f>IF(ISBLANK(Data!P8),"",Data!P8)</f>
        <v/>
      </c>
      <c r="F10" s="168">
        <f t="shared" si="0"/>
        <v>0.5</v>
      </c>
      <c r="G10" s="169">
        <f t="shared" si="1"/>
        <v>0.5</v>
      </c>
      <c r="H10" s="170">
        <f t="shared" si="2"/>
        <v>1</v>
      </c>
      <c r="J10" s="3"/>
    </row>
    <row r="11" spans="2:20" ht="14.25" customHeight="1" x14ac:dyDescent="0.25">
      <c r="B11" s="158">
        <f t="shared" si="3"/>
        <v>4</v>
      </c>
      <c r="C11" s="165" t="str">
        <f>IF(ISBLANK(Data!P8),"",Data!P8)</f>
        <v/>
      </c>
      <c r="D11" s="166" t="str">
        <f>IF(ISBLANK(Data!W46),"",IF(MIN(ABS(Data!W46+1-Data!P9),ABS(Data!W46-Data!P9),ABS(Data!W46-1-Data!P9))=ABS(Data!W46+1-Data!P9),Data!W46+1,IF(MIN(ABS(Data!W46+1-Data!P9),ABS(Data!W46-Data!P9),ABS(Data!W46-1-Data!P9))=ABS(Data!W46-Data!P9),Data!W46,IF(MIN(ABS(Data!W46+1-Data!P9),ABS(Data!W46-Data!P9),ABS(Data!W46-1-Data!P9))=ABS(Data!W46-1-Data!P9),Data!W46-1,""))))</f>
        <v/>
      </c>
      <c r="E11" s="167" t="str">
        <f>IF(ISBLANK(Data!P9),"",Data!P9)</f>
        <v/>
      </c>
      <c r="F11" s="168">
        <f t="shared" si="0"/>
        <v>0.5</v>
      </c>
      <c r="G11" s="169">
        <f t="shared" si="1"/>
        <v>0.5</v>
      </c>
      <c r="H11" s="170">
        <f t="shared" si="2"/>
        <v>1</v>
      </c>
      <c r="J11" s="3"/>
      <c r="L11" s="3"/>
    </row>
    <row r="12" spans="2:20" ht="14.25" customHeight="1" x14ac:dyDescent="0.25">
      <c r="B12" s="158">
        <f t="shared" si="3"/>
        <v>5</v>
      </c>
      <c r="C12" s="165" t="str">
        <f>IF(ISBLANK(Data!P9),"",Data!P9)</f>
        <v/>
      </c>
      <c r="D12" s="166" t="str">
        <f>IF(ISBLANK(Data!W47),"",IF(MIN(ABS(Data!W47+1-Data!P10),ABS(Data!W47-Data!P10),ABS(Data!W47-1-Data!P10))=ABS(Data!W47+1-Data!P10),Data!W47+1,IF(MIN(ABS(Data!W47+1-Data!P10),ABS(Data!W47-Data!P10),ABS(Data!W47-1-Data!P10))=ABS(Data!W47-Data!P10),Data!W47,IF(MIN(ABS(Data!W47+1-Data!P10),ABS(Data!W47-Data!P10),ABS(Data!W47-1-Data!P10))=ABS(Data!W47-1-Data!P10),Data!W47-1,""))))</f>
        <v/>
      </c>
      <c r="E12" s="167" t="str">
        <f>IF(ISBLANK(Data!P10),"",Data!P10)</f>
        <v/>
      </c>
      <c r="F12" s="168">
        <f t="shared" si="0"/>
        <v>0.5</v>
      </c>
      <c r="G12" s="169">
        <f t="shared" si="1"/>
        <v>0.5</v>
      </c>
      <c r="H12" s="170">
        <f t="shared" si="2"/>
        <v>1</v>
      </c>
      <c r="J12" s="3"/>
      <c r="L12" s="3"/>
    </row>
    <row r="13" spans="2:20" ht="14.25" customHeight="1" x14ac:dyDescent="0.25">
      <c r="B13" s="158">
        <f t="shared" si="3"/>
        <v>6</v>
      </c>
      <c r="C13" s="165" t="str">
        <f>IF(ISBLANK(Data!P10),"",Data!P10)</f>
        <v/>
      </c>
      <c r="D13" s="166" t="str">
        <f>IF(ISBLANK(Data!W48),"",IF(MIN(ABS(Data!W48+1-Data!P11),ABS(Data!W48-Data!P11),ABS(Data!W48-1-Data!P11))=ABS(Data!W48+1-Data!P11),Data!W48+1,IF(MIN(ABS(Data!W48+1-Data!P11),ABS(Data!W48-Data!P11),ABS(Data!W48-1-Data!P11))=ABS(Data!W48-Data!P11),Data!W48,IF(MIN(ABS(Data!W48+1-Data!P11),ABS(Data!W48-Data!P11),ABS(Data!W48-1-Data!P11))=ABS(Data!W48-1-Data!P11),Data!W48-1,""))))</f>
        <v/>
      </c>
      <c r="E13" s="167" t="str">
        <f>IF(ISBLANK(Data!P11),"",Data!P11)</f>
        <v/>
      </c>
      <c r="F13" s="168">
        <f t="shared" si="0"/>
        <v>0.5</v>
      </c>
      <c r="G13" s="169">
        <f t="shared" si="1"/>
        <v>0.5</v>
      </c>
      <c r="H13" s="170">
        <f t="shared" si="2"/>
        <v>1</v>
      </c>
      <c r="J13" s="3"/>
      <c r="L13" s="3"/>
    </row>
    <row r="14" spans="2:20" ht="14.25" customHeight="1" x14ac:dyDescent="0.25">
      <c r="B14" s="158">
        <f t="shared" si="3"/>
        <v>7</v>
      </c>
      <c r="C14" s="165" t="str">
        <f>IF(ISBLANK(Data!P11),"",Data!P11)</f>
        <v/>
      </c>
      <c r="D14" s="166" t="str">
        <f>IF(ISBLANK(Data!W49),"",IF(MIN(ABS(Data!W49+1-Data!P12),ABS(Data!W49-Data!P12),ABS(Data!W49-1-Data!P12))=ABS(Data!W49+1-Data!P12),Data!W49+1,IF(MIN(ABS(Data!W49+1-Data!P12),ABS(Data!W49-Data!P12),ABS(Data!W49-1-Data!P12))=ABS(Data!W49-Data!P12),Data!W49,IF(MIN(ABS(Data!W49+1-Data!P12),ABS(Data!W49-Data!P12),ABS(Data!W49-1-Data!P12))=ABS(Data!W49-1-Data!P12),Data!W49-1,""))))</f>
        <v/>
      </c>
      <c r="E14" s="167" t="str">
        <f>IF(ISBLANK(Data!P12),"",Data!P12)</f>
        <v/>
      </c>
      <c r="F14" s="168">
        <f t="shared" si="0"/>
        <v>0.5</v>
      </c>
      <c r="G14" s="169">
        <f t="shared" si="1"/>
        <v>0.5</v>
      </c>
      <c r="H14" s="170">
        <f t="shared" si="2"/>
        <v>1</v>
      </c>
      <c r="J14" s="3"/>
      <c r="L14" s="3"/>
    </row>
    <row r="15" spans="2:20" ht="14.25" customHeight="1" x14ac:dyDescent="0.25">
      <c r="B15" s="158">
        <f t="shared" si="3"/>
        <v>8</v>
      </c>
      <c r="C15" s="165" t="str">
        <f>IF(ISBLANK(Data!P12),"",Data!P12)</f>
        <v/>
      </c>
      <c r="D15" s="166" t="str">
        <f>IF(ISBLANK(Data!W50),"",IF(MIN(ABS(Data!W50+1-Data!P13),ABS(Data!W50-Data!P13),ABS(Data!W50-1-Data!P13))=ABS(Data!W50+1-Data!P13),Data!W50+1,IF(MIN(ABS(Data!W50+1-Data!P13),ABS(Data!W50-Data!P13),ABS(Data!W50-1-Data!P13))=ABS(Data!W50-Data!P13),Data!W50,IF(MIN(ABS(Data!W50+1-Data!P13),ABS(Data!W50-Data!P13),ABS(Data!W50-1-Data!P13))=ABS(Data!W50-1-Data!P13),Data!W50-1,""))))</f>
        <v/>
      </c>
      <c r="E15" s="167" t="str">
        <f>IF(ISBLANK(Data!P13),"",Data!P13)</f>
        <v/>
      </c>
      <c r="F15" s="168">
        <f t="shared" si="0"/>
        <v>0.5</v>
      </c>
      <c r="G15" s="169">
        <f t="shared" si="1"/>
        <v>0.5</v>
      </c>
      <c r="H15" s="170">
        <f t="shared" si="2"/>
        <v>1</v>
      </c>
      <c r="J15" s="3"/>
      <c r="L15" s="3"/>
    </row>
    <row r="16" spans="2:20" ht="14.25" customHeight="1" x14ac:dyDescent="0.25">
      <c r="B16" s="158">
        <f t="shared" si="3"/>
        <v>9</v>
      </c>
      <c r="C16" s="165" t="str">
        <f>IF(ISBLANK(Data!P13),"",Data!P13)</f>
        <v/>
      </c>
      <c r="D16" s="166" t="str">
        <f>IF(ISBLANK(Data!W51),"",IF(MIN(ABS(Data!W51+1-Data!P14),ABS(Data!W51-Data!P14),ABS(Data!W51-1-Data!P14))=ABS(Data!W51+1-Data!P14),Data!W51+1,IF(MIN(ABS(Data!W51+1-Data!P14),ABS(Data!W51-Data!P14),ABS(Data!W51-1-Data!P14))=ABS(Data!W51-Data!P14),Data!W51,IF(MIN(ABS(Data!W51+1-Data!P14),ABS(Data!W51-Data!P14),ABS(Data!W51-1-Data!P14))=ABS(Data!W51-1-Data!P14),Data!W51-1,""))))</f>
        <v/>
      </c>
      <c r="E16" s="167" t="str">
        <f>IF(ISBLANK(Data!P14),"",Data!P14)</f>
        <v/>
      </c>
      <c r="F16" s="168">
        <f t="shared" si="0"/>
        <v>0.5</v>
      </c>
      <c r="G16" s="169">
        <f t="shared" si="1"/>
        <v>0.5</v>
      </c>
      <c r="H16" s="170">
        <f t="shared" si="2"/>
        <v>1</v>
      </c>
      <c r="J16" s="3"/>
      <c r="L16" s="3"/>
    </row>
    <row r="17" spans="2:12" ht="14.25" customHeight="1" x14ac:dyDescent="0.25">
      <c r="B17" s="158">
        <f t="shared" si="3"/>
        <v>10</v>
      </c>
      <c r="C17" s="165" t="str">
        <f>IF(ISBLANK(Data!P14),"",Data!P14)</f>
        <v/>
      </c>
      <c r="D17" s="166" t="str">
        <f>IF(ISBLANK(Data!W52),"",IF(MIN(ABS(Data!W52+1-Data!P15),ABS(Data!W52-Data!P15),ABS(Data!W52-1-Data!P15))=ABS(Data!W52+1-Data!P15),Data!W52+1,IF(MIN(ABS(Data!W52+1-Data!P15),ABS(Data!W52-Data!P15),ABS(Data!W52-1-Data!P15))=ABS(Data!W52-Data!P15),Data!W52,IF(MIN(ABS(Data!W52+1-Data!P15),ABS(Data!W52-Data!P15),ABS(Data!W52-1-Data!P15))=ABS(Data!W52-1-Data!P15),Data!W52-1,""))))</f>
        <v/>
      </c>
      <c r="E17" s="167" t="str">
        <f>IF(ISBLANK(Data!P15),"",Data!P15)</f>
        <v/>
      </c>
      <c r="F17" s="168">
        <f t="shared" si="0"/>
        <v>0.5</v>
      </c>
      <c r="G17" s="169">
        <f t="shared" si="1"/>
        <v>0.5</v>
      </c>
      <c r="H17" s="170">
        <f t="shared" si="2"/>
        <v>1</v>
      </c>
      <c r="J17" s="3"/>
      <c r="L17" s="3"/>
    </row>
    <row r="18" spans="2:12" ht="14.25" customHeight="1" x14ac:dyDescent="0.25">
      <c r="B18" s="158">
        <f t="shared" si="3"/>
        <v>11</v>
      </c>
      <c r="C18" s="165" t="str">
        <f>IF(ISBLANK(Data!P15),"",Data!P15)</f>
        <v/>
      </c>
      <c r="D18" s="166" t="str">
        <f>IF(ISBLANK(Data!W53),"",IF(MIN(ABS(Data!W53+1-Data!P16),ABS(Data!W53-Data!P16),ABS(Data!W53-1-Data!P16))=ABS(Data!W53+1-Data!P16),Data!W53+1,IF(MIN(ABS(Data!W53+1-Data!P16),ABS(Data!W53-Data!P16),ABS(Data!W53-1-Data!P16))=ABS(Data!W53-Data!P16),Data!W53,IF(MIN(ABS(Data!W53+1-Data!P16),ABS(Data!W53-Data!P16),ABS(Data!W53-1-Data!P16))=ABS(Data!W53-1-Data!P16),Data!W53-1,""))))</f>
        <v/>
      </c>
      <c r="E18" s="167" t="str">
        <f>IF(ISBLANK(Data!P16),"",Data!P16)</f>
        <v/>
      </c>
      <c r="F18" s="168">
        <f t="shared" si="0"/>
        <v>0.5</v>
      </c>
      <c r="G18" s="169">
        <f t="shared" si="1"/>
        <v>0.5</v>
      </c>
      <c r="H18" s="170">
        <f t="shared" si="2"/>
        <v>1</v>
      </c>
      <c r="J18" s="3"/>
      <c r="L18" s="3"/>
    </row>
    <row r="19" spans="2:12" ht="14.25" customHeight="1" x14ac:dyDescent="0.25">
      <c r="B19" s="158">
        <f t="shared" si="3"/>
        <v>12</v>
      </c>
      <c r="C19" s="165" t="str">
        <f>IF(ISBLANK(Data!P16),"",Data!P16)</f>
        <v/>
      </c>
      <c r="D19" s="166" t="str">
        <f>IF(ISBLANK(Data!W54),"",IF(MIN(ABS(Data!W54+1-Data!P17),ABS(Data!W54-Data!P17),ABS(Data!W54-1-Data!P17))=ABS(Data!W54+1-Data!P17),Data!W54+1,IF(MIN(ABS(Data!W54+1-Data!P17),ABS(Data!W54-Data!P17),ABS(Data!W54-1-Data!P17))=ABS(Data!W54-Data!P17),Data!W54,IF(MIN(ABS(Data!W54+1-Data!P17),ABS(Data!W54-Data!P17),ABS(Data!W54-1-Data!P17))=ABS(Data!W54-1-Data!P17),Data!W54-1,""))))</f>
        <v/>
      </c>
      <c r="E19" s="167" t="str">
        <f>IF(ISBLANK(Data!P17),"",Data!P17)</f>
        <v/>
      </c>
      <c r="F19" s="168">
        <f t="shared" si="0"/>
        <v>0.5</v>
      </c>
      <c r="G19" s="169">
        <f t="shared" si="1"/>
        <v>0.5</v>
      </c>
      <c r="H19" s="170">
        <f t="shared" si="2"/>
        <v>1</v>
      </c>
      <c r="J19" s="3"/>
      <c r="L19" s="3"/>
    </row>
    <row r="20" spans="2:12" ht="14.25" customHeight="1" x14ac:dyDescent="0.25">
      <c r="B20" s="158">
        <f t="shared" si="3"/>
        <v>13</v>
      </c>
      <c r="C20" s="165" t="str">
        <f>IF(ISBLANK(Data!P17),"",Data!P17)</f>
        <v/>
      </c>
      <c r="D20" s="166" t="str">
        <f>IF(ISBLANK(Data!W55),"",IF(MIN(ABS(Data!W55+1-Data!P18),ABS(Data!W55-Data!P18),ABS(Data!W55-1-Data!P18))=ABS(Data!W55+1-Data!P18),Data!W55+1,IF(MIN(ABS(Data!W55+1-Data!P18),ABS(Data!W55-Data!P18),ABS(Data!W55-1-Data!P18))=ABS(Data!W55-Data!P18),Data!W55,IF(MIN(ABS(Data!W55+1-Data!P18),ABS(Data!W55-Data!P18),ABS(Data!W55-1-Data!P18))=ABS(Data!W55-1-Data!P18),Data!W55-1,""))))</f>
        <v/>
      </c>
      <c r="E20" s="167" t="str">
        <f>IF(ISBLANK(Data!P18),"",Data!P18)</f>
        <v/>
      </c>
      <c r="F20" s="168">
        <f t="shared" si="0"/>
        <v>0.5</v>
      </c>
      <c r="G20" s="169">
        <f t="shared" si="1"/>
        <v>0.5</v>
      </c>
      <c r="H20" s="170">
        <f t="shared" si="2"/>
        <v>1</v>
      </c>
      <c r="J20" s="3"/>
      <c r="L20" s="3"/>
    </row>
    <row r="21" spans="2:12" ht="14.25" customHeight="1" x14ac:dyDescent="0.25">
      <c r="B21" s="158">
        <f t="shared" si="3"/>
        <v>14</v>
      </c>
      <c r="C21" s="165" t="str">
        <f>IF(ISBLANK(Data!P18),"",Data!P18)</f>
        <v/>
      </c>
      <c r="D21" s="166" t="str">
        <f>IF(ISBLANK(Data!W56),"",IF(MIN(ABS(Data!W56+1-Data!P19),ABS(Data!W56-Data!P19),ABS(Data!W56-1-Data!P19))=ABS(Data!W56+1-Data!P19),Data!W56+1,IF(MIN(ABS(Data!W56+1-Data!P19),ABS(Data!W56-Data!P19),ABS(Data!W56-1-Data!P19))=ABS(Data!W56-Data!P19),Data!W56,IF(MIN(ABS(Data!W56+1-Data!P19),ABS(Data!W56-Data!P19),ABS(Data!W56-1-Data!P19))=ABS(Data!W56-1-Data!P19),Data!W56-1,""))))</f>
        <v/>
      </c>
      <c r="E21" s="167" t="str">
        <f>IF(ISBLANK(Data!P19),"",Data!P19)</f>
        <v/>
      </c>
      <c r="F21" s="168">
        <f t="shared" si="0"/>
        <v>0.5</v>
      </c>
      <c r="G21" s="169">
        <f t="shared" si="1"/>
        <v>0.5</v>
      </c>
      <c r="H21" s="170">
        <f t="shared" si="2"/>
        <v>1</v>
      </c>
      <c r="J21" s="3"/>
      <c r="L21" s="3"/>
    </row>
    <row r="22" spans="2:12" ht="14.25" customHeight="1" x14ac:dyDescent="0.25">
      <c r="B22" s="158">
        <f t="shared" si="3"/>
        <v>15</v>
      </c>
      <c r="C22" s="165" t="str">
        <f>IF(ISBLANK(Data!P19),"",Data!P19)</f>
        <v/>
      </c>
      <c r="D22" s="166" t="str">
        <f>IF(ISBLANK(Data!W57),"",IF(MIN(ABS(Data!W57+1-Data!P20),ABS(Data!W57-Data!P20),ABS(Data!W57-1-Data!P20))=ABS(Data!W57+1-Data!P20),Data!W57+1,IF(MIN(ABS(Data!W57+1-Data!P20),ABS(Data!W57-Data!P20),ABS(Data!W57-1-Data!P20))=ABS(Data!W57-Data!P20),Data!W57,IF(MIN(ABS(Data!W57+1-Data!P20),ABS(Data!W57-Data!P20),ABS(Data!W57-1-Data!P20))=ABS(Data!W57-1-Data!P20),Data!W57-1,""))))</f>
        <v/>
      </c>
      <c r="E22" s="167" t="str">
        <f>IF(ISBLANK(Data!P20),"",Data!P20)</f>
        <v/>
      </c>
      <c r="F22" s="168">
        <f t="shared" si="0"/>
        <v>0.5</v>
      </c>
      <c r="G22" s="169">
        <f t="shared" si="1"/>
        <v>0.5</v>
      </c>
      <c r="H22" s="170">
        <f t="shared" si="2"/>
        <v>1</v>
      </c>
      <c r="J22" s="3"/>
      <c r="L22" s="3"/>
    </row>
    <row r="23" spans="2:12" ht="14.25" customHeight="1" x14ac:dyDescent="0.25">
      <c r="B23" s="158">
        <f t="shared" si="3"/>
        <v>16</v>
      </c>
      <c r="C23" s="165" t="str">
        <f>IF(ISBLANK(Data!P20),"",Data!P20)</f>
        <v/>
      </c>
      <c r="D23" s="166" t="str">
        <f>IF(ISBLANK(Data!W58),"",IF(MIN(ABS(Data!W58+1-Data!P21),ABS(Data!W58-Data!P21),ABS(Data!W58-1-Data!P21))=ABS(Data!W58+1-Data!P21),Data!W58+1,IF(MIN(ABS(Data!W58+1-Data!P21),ABS(Data!W58-Data!P21),ABS(Data!W58-1-Data!P21))=ABS(Data!W58-Data!P21),Data!W58,IF(MIN(ABS(Data!W58+1-Data!P21),ABS(Data!W58-Data!P21),ABS(Data!W58-1-Data!P21))=ABS(Data!W58-1-Data!P21),Data!W58-1,""))))</f>
        <v/>
      </c>
      <c r="E23" s="167" t="str">
        <f>IF(ISBLANK(Data!P21),"",Data!P21)</f>
        <v/>
      </c>
      <c r="F23" s="168">
        <f t="shared" si="0"/>
        <v>0.5</v>
      </c>
      <c r="G23" s="169">
        <f t="shared" si="1"/>
        <v>0.5</v>
      </c>
      <c r="H23" s="170">
        <f t="shared" si="2"/>
        <v>1</v>
      </c>
      <c r="J23" s="3"/>
      <c r="L23" s="3"/>
    </row>
    <row r="24" spans="2:12" ht="14.25" customHeight="1" x14ac:dyDescent="0.25">
      <c r="B24" s="158">
        <f t="shared" si="3"/>
        <v>17</v>
      </c>
      <c r="C24" s="165" t="str">
        <f>IF(ISBLANK(Data!P21),"",Data!P21)</f>
        <v/>
      </c>
      <c r="D24" s="166" t="str">
        <f>IF(ISBLANK(Data!W59),"",IF(MIN(ABS(Data!W59+1-Data!P22),ABS(Data!W59-Data!P22),ABS(Data!W59-1-Data!P22))=ABS(Data!W59+1-Data!P22),Data!W59+1,IF(MIN(ABS(Data!W59+1-Data!P22),ABS(Data!W59-Data!P22),ABS(Data!W59-1-Data!P22))=ABS(Data!W59-Data!P22),Data!W59,IF(MIN(ABS(Data!W59+1-Data!P22),ABS(Data!W59-Data!P22),ABS(Data!W59-1-Data!P22))=ABS(Data!W59-1-Data!P22),Data!W59-1,""))))</f>
        <v/>
      </c>
      <c r="E24" s="167" t="str">
        <f>IF(ISBLANK(Data!P22),"",Data!P22)</f>
        <v/>
      </c>
      <c r="F24" s="168">
        <f t="shared" si="0"/>
        <v>0.5</v>
      </c>
      <c r="G24" s="169">
        <f t="shared" si="1"/>
        <v>0.5</v>
      </c>
      <c r="H24" s="170">
        <f t="shared" si="2"/>
        <v>1</v>
      </c>
      <c r="J24" s="3"/>
      <c r="L24" s="3"/>
    </row>
    <row r="25" spans="2:12" ht="14.25" customHeight="1" x14ac:dyDescent="0.25">
      <c r="B25" s="158">
        <f t="shared" si="3"/>
        <v>18</v>
      </c>
      <c r="C25" s="165" t="str">
        <f>IF(ISBLANK(Data!P22),"",Data!P22)</f>
        <v/>
      </c>
      <c r="D25" s="166" t="str">
        <f>IF(ISBLANK(Data!W60),"",IF(MIN(ABS(Data!W60+1-Data!P23),ABS(Data!W60-Data!P23),ABS(Data!W60-1-Data!P23))=ABS(Data!W60+1-Data!P23),Data!W60+1,IF(MIN(ABS(Data!W60+1-Data!P23),ABS(Data!W60-Data!P23),ABS(Data!W60-1-Data!P23))=ABS(Data!W60-Data!P23),Data!W60,IF(MIN(ABS(Data!W60+1-Data!P23),ABS(Data!W60-Data!P23),ABS(Data!W60-1-Data!P23))=ABS(Data!W60-1-Data!P23),Data!W60-1,""))))</f>
        <v/>
      </c>
      <c r="E25" s="167" t="str">
        <f>IF(ISBLANK(Data!P23),"",Data!P23)</f>
        <v/>
      </c>
      <c r="F25" s="168">
        <f t="shared" si="0"/>
        <v>0.5</v>
      </c>
      <c r="G25" s="169">
        <f t="shared" si="1"/>
        <v>0.5</v>
      </c>
      <c r="H25" s="170">
        <f t="shared" si="2"/>
        <v>1</v>
      </c>
      <c r="J25" s="3"/>
      <c r="L25" s="3"/>
    </row>
    <row r="26" spans="2:12" ht="14.25" customHeight="1" x14ac:dyDescent="0.25">
      <c r="B26" s="158">
        <f t="shared" si="3"/>
        <v>19</v>
      </c>
      <c r="C26" s="165" t="str">
        <f>IF(ISBLANK(Data!P23),"",Data!P23)</f>
        <v/>
      </c>
      <c r="D26" s="166" t="str">
        <f>IF(ISBLANK(Data!W61),"",IF(MIN(ABS(Data!W61+1-Data!P24),ABS(Data!W61-Data!P24),ABS(Data!W61-1-Data!P24))=ABS(Data!W61+1-Data!P24),Data!W61+1,IF(MIN(ABS(Data!W61+1-Data!P24),ABS(Data!W61-Data!P24),ABS(Data!W61-1-Data!P24))=ABS(Data!W61-Data!P24),Data!W61,IF(MIN(ABS(Data!W61+1-Data!P24),ABS(Data!W61-Data!P24),ABS(Data!W61-1-Data!P24))=ABS(Data!W61-1-Data!P24),Data!W61-1,""))))</f>
        <v/>
      </c>
      <c r="E26" s="167" t="str">
        <f>IF(ISBLANK(Data!P24),"",Data!P24)</f>
        <v/>
      </c>
      <c r="F26" s="168">
        <f t="shared" si="0"/>
        <v>0.5</v>
      </c>
      <c r="G26" s="169">
        <f t="shared" si="1"/>
        <v>0.5</v>
      </c>
      <c r="H26" s="170">
        <f t="shared" si="2"/>
        <v>1</v>
      </c>
      <c r="J26" s="3"/>
      <c r="L26" s="3"/>
    </row>
    <row r="27" spans="2:12" ht="14.25" customHeight="1" x14ac:dyDescent="0.25">
      <c r="B27" s="158">
        <f t="shared" si="3"/>
        <v>20</v>
      </c>
      <c r="C27" s="165" t="str">
        <f>IF(ISBLANK(Data!P24),"",Data!P24)</f>
        <v/>
      </c>
      <c r="D27" s="166" t="str">
        <f>IF(ISBLANK(Data!W62),"",IF(MIN(ABS(Data!W62+1-Data!P25),ABS(Data!W62-Data!P25),ABS(Data!W62-1-Data!P25))=ABS(Data!W62+1-Data!P25),Data!W62+1,IF(MIN(ABS(Data!W62+1-Data!P25),ABS(Data!W62-Data!P25),ABS(Data!W62-1-Data!P25))=ABS(Data!W62-Data!P25),Data!W62,IF(MIN(ABS(Data!W62+1-Data!P25),ABS(Data!W62-Data!P25),ABS(Data!W62-1-Data!P25))=ABS(Data!W62-1-Data!P25),Data!W62-1,""))))</f>
        <v/>
      </c>
      <c r="E27" s="167" t="str">
        <f>IF(ISBLANK(Data!P25),"",Data!P25)</f>
        <v/>
      </c>
      <c r="F27" s="168">
        <f t="shared" si="0"/>
        <v>0.5</v>
      </c>
      <c r="G27" s="169">
        <f t="shared" si="1"/>
        <v>0.5</v>
      </c>
      <c r="H27" s="170">
        <f t="shared" si="2"/>
        <v>1</v>
      </c>
      <c r="J27" s="3"/>
      <c r="L27" s="3"/>
    </row>
    <row r="28" spans="2:12" ht="14.25" customHeight="1" x14ac:dyDescent="0.25">
      <c r="B28" s="158">
        <f t="shared" si="3"/>
        <v>21</v>
      </c>
      <c r="C28" s="165" t="str">
        <f>IF(ISBLANK(Data!P25),"",Data!P25)</f>
        <v/>
      </c>
      <c r="D28" s="166" t="str">
        <f>IF(ISBLANK(Data!W63),"",IF(MIN(ABS(Data!W63+1-Data!P26),ABS(Data!W63-Data!P26),ABS(Data!W63-1-Data!P26))=ABS(Data!W63+1-Data!P26),Data!W63+1,IF(MIN(ABS(Data!W63+1-Data!P26),ABS(Data!W63-Data!P26),ABS(Data!W63-1-Data!P26))=ABS(Data!W63-Data!P26),Data!W63,IF(MIN(ABS(Data!W63+1-Data!P26),ABS(Data!W63-Data!P26),ABS(Data!W63-1-Data!P26))=ABS(Data!W63-1-Data!P26),Data!W63-1,""))))</f>
        <v/>
      </c>
      <c r="E28" s="167" t="str">
        <f>IF(ISBLANK(Data!P26),"",Data!P26)</f>
        <v/>
      </c>
      <c r="F28" s="168">
        <f t="shared" si="0"/>
        <v>0.5</v>
      </c>
      <c r="G28" s="169">
        <f t="shared" si="1"/>
        <v>0.5</v>
      </c>
      <c r="H28" s="170">
        <f t="shared" si="2"/>
        <v>1</v>
      </c>
      <c r="J28" s="3"/>
      <c r="L28" s="3"/>
    </row>
    <row r="29" spans="2:12" ht="14.25" customHeight="1" x14ac:dyDescent="0.25">
      <c r="B29" s="158">
        <f t="shared" si="3"/>
        <v>22</v>
      </c>
      <c r="C29" s="165" t="str">
        <f>IF(ISBLANK(Data!P26),"",Data!P26)</f>
        <v/>
      </c>
      <c r="D29" s="166" t="str">
        <f>IF(ISBLANK(Data!W64),"",IF(MIN(ABS(Data!W64+1-Data!P27),ABS(Data!W64-Data!P27),ABS(Data!W64-1-Data!P27))=ABS(Data!W64+1-Data!P27),Data!W64+1,IF(MIN(ABS(Data!W64+1-Data!P27),ABS(Data!W64-Data!P27),ABS(Data!W64-1-Data!P27))=ABS(Data!W64-Data!P27),Data!W64,IF(MIN(ABS(Data!W64+1-Data!P27),ABS(Data!W64-Data!P27),ABS(Data!W64-1-Data!P27))=ABS(Data!W64-1-Data!P27),Data!W64-1,""))))</f>
        <v/>
      </c>
      <c r="E29" s="167" t="str">
        <f>IF(ISBLANK(Data!P27),"",Data!P27)</f>
        <v/>
      </c>
      <c r="F29" s="168">
        <f t="shared" si="0"/>
        <v>0.5</v>
      </c>
      <c r="G29" s="169">
        <f t="shared" si="1"/>
        <v>0.5</v>
      </c>
      <c r="H29" s="170">
        <f t="shared" si="2"/>
        <v>1</v>
      </c>
      <c r="J29" s="3"/>
      <c r="L29" s="3"/>
    </row>
    <row r="30" spans="2:12" ht="14.25" customHeight="1" x14ac:dyDescent="0.25">
      <c r="B30" s="158">
        <f t="shared" si="3"/>
        <v>23</v>
      </c>
      <c r="C30" s="165" t="str">
        <f>IF(ISBLANK(Data!P27),"",Data!P27)</f>
        <v/>
      </c>
      <c r="D30" s="166" t="str">
        <f>IF(ISBLANK(Data!W65),"",IF(MIN(ABS(Data!W65+1-Data!P28),ABS(Data!W65-Data!P28),ABS(Data!W65-1-Data!P28))=ABS(Data!W65+1-Data!P28),Data!W65+1,IF(MIN(ABS(Data!W65+1-Data!P28),ABS(Data!W65-Data!P28),ABS(Data!W65-1-Data!P28))=ABS(Data!W65-Data!P28),Data!W65,IF(MIN(ABS(Data!W65+1-Data!P28),ABS(Data!W65-Data!P28),ABS(Data!W65-1-Data!P28))=ABS(Data!W65-1-Data!P28),Data!W65-1,""))))</f>
        <v/>
      </c>
      <c r="E30" s="167" t="str">
        <f>IF(ISBLANK(Data!P28),"",Data!P28)</f>
        <v/>
      </c>
      <c r="F30" s="168">
        <f t="shared" si="0"/>
        <v>0.5</v>
      </c>
      <c r="G30" s="169">
        <f t="shared" si="1"/>
        <v>0.5</v>
      </c>
      <c r="H30" s="170">
        <f t="shared" si="2"/>
        <v>1</v>
      </c>
      <c r="J30" s="3"/>
      <c r="L30" s="3"/>
    </row>
    <row r="31" spans="2:12" ht="14.25" customHeight="1" x14ac:dyDescent="0.25">
      <c r="B31" s="158">
        <f t="shared" si="3"/>
        <v>24</v>
      </c>
      <c r="C31" s="165" t="str">
        <f>IF(ISBLANK(Data!P28),"",Data!P28)</f>
        <v/>
      </c>
      <c r="D31" s="166" t="str">
        <f>IF(ISBLANK(Data!W66),"",IF(MIN(ABS(Data!W66+1-Data!P29),ABS(Data!W66-Data!P29),ABS(Data!W66-1-Data!P29))=ABS(Data!W66+1-Data!P29),Data!W66+1,IF(MIN(ABS(Data!W66+1-Data!P29),ABS(Data!W66-Data!P29),ABS(Data!W66-1-Data!P29))=ABS(Data!W66-Data!P29),Data!W66,IF(MIN(ABS(Data!W66+1-Data!P29),ABS(Data!W66-Data!P29),ABS(Data!W66-1-Data!P29))=ABS(Data!W66-1-Data!P29),Data!W66-1,""))))</f>
        <v/>
      </c>
      <c r="E31" s="167" t="str">
        <f>IF(ISBLANK(Data!P29),"",Data!P29)</f>
        <v/>
      </c>
      <c r="F31" s="168">
        <f t="shared" si="0"/>
        <v>0.5</v>
      </c>
      <c r="G31" s="169">
        <f t="shared" si="1"/>
        <v>0.5</v>
      </c>
      <c r="H31" s="170">
        <f t="shared" si="2"/>
        <v>1</v>
      </c>
      <c r="J31" s="3"/>
      <c r="L31" s="3"/>
    </row>
    <row r="32" spans="2:12" ht="14.25" customHeight="1" x14ac:dyDescent="0.25">
      <c r="B32" s="158">
        <f t="shared" si="3"/>
        <v>25</v>
      </c>
      <c r="C32" s="165" t="str">
        <f>IF(ISBLANK(Data!P29),"",Data!P29)</f>
        <v/>
      </c>
      <c r="D32" s="166" t="str">
        <f>IF(ISBLANK(Data!W67),"",IF(MIN(ABS(Data!W67+1-Data!P30),ABS(Data!W67-Data!P30),ABS(Data!W67-1-Data!P30))=ABS(Data!W67+1-Data!P30),Data!W67+1,IF(MIN(ABS(Data!W67+1-Data!P30),ABS(Data!W67-Data!P30),ABS(Data!W67-1-Data!P30))=ABS(Data!W67-Data!P30),Data!W67,IF(MIN(ABS(Data!W67+1-Data!P30),ABS(Data!W67-Data!P30),ABS(Data!W67-1-Data!P30))=ABS(Data!W67-1-Data!P30),Data!W67-1,""))))</f>
        <v/>
      </c>
      <c r="E32" s="167" t="str">
        <f>IF(ISBLANK(Data!P30),"",Data!P30)</f>
        <v/>
      </c>
      <c r="F32" s="168">
        <f t="shared" si="0"/>
        <v>0.5</v>
      </c>
      <c r="G32" s="169">
        <f t="shared" si="1"/>
        <v>0.5</v>
      </c>
      <c r="H32" s="170">
        <f t="shared" si="2"/>
        <v>1</v>
      </c>
      <c r="J32" s="3"/>
      <c r="L32" s="3"/>
    </row>
    <row r="33" spans="2:12" ht="14.25" customHeight="1" x14ac:dyDescent="0.25">
      <c r="B33" s="158">
        <f t="shared" si="3"/>
        <v>26</v>
      </c>
      <c r="C33" s="165" t="str">
        <f>IF(ISBLANK(Data!P30),"",Data!P30)</f>
        <v/>
      </c>
      <c r="D33" s="166" t="str">
        <f>IF(ISBLANK(Data!W68),"",IF(MIN(ABS(Data!W68+1-Data!P31),ABS(Data!W68-Data!P31),ABS(Data!W68-1-Data!P31))=ABS(Data!W68+1-Data!P31),Data!W68+1,IF(MIN(ABS(Data!W68+1-Data!P31),ABS(Data!W68-Data!P31),ABS(Data!W68-1-Data!P31))=ABS(Data!W68-Data!P31),Data!W68,IF(MIN(ABS(Data!W68+1-Data!P31),ABS(Data!W68-Data!P31),ABS(Data!W68-1-Data!P31))=ABS(Data!W68-1-Data!P31),Data!W68-1,""))))</f>
        <v/>
      </c>
      <c r="E33" s="167" t="str">
        <f>IF(ISBLANK(Data!P31),"",Data!P31)</f>
        <v/>
      </c>
      <c r="F33" s="168">
        <f t="shared" si="0"/>
        <v>0.5</v>
      </c>
      <c r="G33" s="169">
        <f t="shared" si="1"/>
        <v>0.5</v>
      </c>
      <c r="H33" s="170">
        <f t="shared" si="2"/>
        <v>1</v>
      </c>
      <c r="J33" s="3"/>
      <c r="L33" s="3"/>
    </row>
    <row r="34" spans="2:12" ht="14.25" customHeight="1" x14ac:dyDescent="0.25">
      <c r="B34" s="158">
        <f t="shared" si="3"/>
        <v>27</v>
      </c>
      <c r="C34" s="165" t="str">
        <f>IF(ISBLANK(Data!P31),"",Data!P31)</f>
        <v/>
      </c>
      <c r="D34" s="166" t="str">
        <f>IF(ISBLANK(Data!W69),"",IF(MIN(ABS(Data!W69+1-Data!P32),ABS(Data!W69-Data!P32),ABS(Data!W69-1-Data!P32))=ABS(Data!W69+1-Data!P32),Data!W69+1,IF(MIN(ABS(Data!W69+1-Data!P32),ABS(Data!W69-Data!P32),ABS(Data!W69-1-Data!P32))=ABS(Data!W69-Data!P32),Data!W69,IF(MIN(ABS(Data!W69+1-Data!P32),ABS(Data!W69-Data!P32),ABS(Data!W69-1-Data!P32))=ABS(Data!W69-1-Data!P32),Data!W69-1,""))))</f>
        <v/>
      </c>
      <c r="E34" s="167" t="str">
        <f>IF(ISBLANK(Data!P32),"",Data!P32)</f>
        <v/>
      </c>
      <c r="F34" s="168">
        <f t="shared" si="0"/>
        <v>0.5</v>
      </c>
      <c r="G34" s="169">
        <f t="shared" si="1"/>
        <v>0.5</v>
      </c>
      <c r="H34" s="170">
        <f t="shared" si="2"/>
        <v>1</v>
      </c>
      <c r="J34" s="3"/>
      <c r="L34" s="3"/>
    </row>
    <row r="35" spans="2:12" ht="14.25" customHeight="1" x14ac:dyDescent="0.25">
      <c r="B35" s="158">
        <f t="shared" si="3"/>
        <v>28</v>
      </c>
      <c r="C35" s="165" t="str">
        <f>IF(ISBLANK(Data!P32),"",Data!P32)</f>
        <v/>
      </c>
      <c r="D35" s="166" t="str">
        <f>IF(ISBLANK(Data!W70),"",IF(MIN(ABS(Data!W70+1-Data!P33),ABS(Data!W70-Data!P33),ABS(Data!W70-1-Data!P33))=ABS(Data!W70+1-Data!P33),Data!W70+1,IF(MIN(ABS(Data!W70+1-Data!P33),ABS(Data!W70-Data!P33),ABS(Data!W70-1-Data!P33))=ABS(Data!W70-Data!P33),Data!W70,IF(MIN(ABS(Data!W70+1-Data!P33),ABS(Data!W70-Data!P33),ABS(Data!W70-1-Data!P33))=ABS(Data!W70-1-Data!P33),Data!W70-1,""))))</f>
        <v/>
      </c>
      <c r="E35" s="167" t="str">
        <f>IF(ISBLANK(Data!P33),"",Data!P33)</f>
        <v/>
      </c>
      <c r="F35" s="168">
        <f t="shared" si="0"/>
        <v>0.5</v>
      </c>
      <c r="G35" s="169">
        <f t="shared" si="1"/>
        <v>0.5</v>
      </c>
      <c r="H35" s="170">
        <f t="shared" si="2"/>
        <v>1</v>
      </c>
      <c r="J35" s="3"/>
      <c r="L35" s="3"/>
    </row>
    <row r="36" spans="2:12" ht="14.25" customHeight="1" x14ac:dyDescent="0.25">
      <c r="B36" s="158">
        <f t="shared" si="3"/>
        <v>29</v>
      </c>
      <c r="C36" s="165" t="str">
        <f>IF(ISBLANK(Data!P33),"",Data!P33)</f>
        <v/>
      </c>
      <c r="D36" s="166" t="str">
        <f>IF(ISBLANK(Data!W71),"",IF(MIN(ABS(Data!W71+1-Data!P34),ABS(Data!W71-Data!P34),ABS(Data!W71-1-Data!P34))=ABS(Data!W71+1-Data!P34),Data!W71+1,IF(MIN(ABS(Data!W71+1-Data!P34),ABS(Data!W71-Data!P34),ABS(Data!W71-1-Data!P34))=ABS(Data!W71-Data!P34),Data!W71,IF(MIN(ABS(Data!W71+1-Data!P34),ABS(Data!W71-Data!P34),ABS(Data!W71-1-Data!P34))=ABS(Data!W71-1-Data!P34),Data!W71-1,""))))</f>
        <v/>
      </c>
      <c r="E36" s="167" t="str">
        <f>IF(ISBLANK(Data!P34),"",Data!P34)</f>
        <v/>
      </c>
      <c r="F36" s="168">
        <f t="shared" si="0"/>
        <v>0.5</v>
      </c>
      <c r="G36" s="169">
        <f t="shared" si="1"/>
        <v>0.5</v>
      </c>
      <c r="H36" s="170">
        <f t="shared" si="2"/>
        <v>1</v>
      </c>
      <c r="J36" s="3"/>
      <c r="L36" s="3"/>
    </row>
    <row r="37" spans="2:12" ht="14.25" customHeight="1" x14ac:dyDescent="0.25">
      <c r="B37" s="171">
        <f t="shared" si="3"/>
        <v>30</v>
      </c>
      <c r="C37" s="165" t="str">
        <f>IF(ISBLANK(Data!P34),"",Data!P34)</f>
        <v/>
      </c>
      <c r="D37" s="166" t="str">
        <f>IF(ISBLANK(Data!W72),"",IF(MIN(ABS(Data!W72+1-Data!P35),ABS(Data!W72-Data!P35),ABS(Data!W72-1-Data!P35))=ABS(Data!W72+1-Data!P35),Data!W72+1,IF(MIN(ABS(Data!W72+1-Data!P35),ABS(Data!W72-Data!P35),ABS(Data!W72-1-Data!P35))=ABS(Data!W72-Data!P35),Data!W72,IF(MIN(ABS(Data!W72+1-Data!P35),ABS(Data!W72-Data!P35),ABS(Data!W72-1-Data!P35))=ABS(Data!W72-1-Data!P35),Data!W72-1,""))))</f>
        <v/>
      </c>
      <c r="E37" s="167" t="str">
        <f>IF(ISBLANK(Data!P35),"",Data!P35)</f>
        <v/>
      </c>
      <c r="F37" s="168">
        <f t="shared" si="0"/>
        <v>0.5</v>
      </c>
      <c r="G37" s="169">
        <f t="shared" si="1"/>
        <v>0.5</v>
      </c>
      <c r="H37" s="170">
        <f t="shared" si="2"/>
        <v>1</v>
      </c>
      <c r="J37" s="3"/>
      <c r="L37" s="3"/>
    </row>
    <row r="38" spans="2:12" ht="14.25" customHeight="1" thickBot="1" x14ac:dyDescent="0.3">
      <c r="B38" s="172">
        <f t="shared" si="3"/>
        <v>31</v>
      </c>
      <c r="C38" s="173" t="str">
        <f>IF(ISBLANK(Data!P35),"",Data!P35)</f>
        <v/>
      </c>
      <c r="D38" s="239" t="str">
        <f>IF(ISBLANK(Data!W73),"",IF(MIN(ABS(Data!W73+1-Data!P36),ABS(Data!W73-Data!P36),ABS(Data!W73-1-Data!P36))=ABS(Data!W73+1-Data!P36),Data!W73+1,IF(MIN(ABS(Data!W73+1-Data!P36),ABS(Data!W73-Data!P36),ABS(Data!W73-1-Data!P36))=ABS(Data!W73-Data!P36),Data!W73,IF(MIN(ABS(Data!W73+1-Data!P36),ABS(Data!W73-Data!P36),ABS(Data!W73-1-Data!P36))=ABS(Data!W73-1-Data!P36),Data!W73-1,""))))</f>
        <v/>
      </c>
      <c r="E38" s="65" t="str">
        <f>IF(ISBLANK(Data!P36),"",Data!P36)</f>
        <v/>
      </c>
      <c r="F38" s="174">
        <f t="shared" si="0"/>
        <v>0.5</v>
      </c>
      <c r="G38" s="175">
        <f t="shared" si="1"/>
        <v>0.5</v>
      </c>
      <c r="H38" s="176">
        <f t="shared" si="2"/>
        <v>1</v>
      </c>
      <c r="J38" s="3"/>
      <c r="L38" s="3"/>
    </row>
    <row r="39" spans="2:12" x14ac:dyDescent="0.25">
      <c r="J39" s="3"/>
      <c r="L39" s="3"/>
    </row>
    <row r="40" spans="2:12" x14ac:dyDescent="0.25">
      <c r="J40" s="3"/>
      <c r="L40" s="3"/>
    </row>
    <row r="41" spans="2:12" x14ac:dyDescent="0.25">
      <c r="J41" s="3"/>
      <c r="L41" s="3"/>
    </row>
    <row r="42" spans="2:12" x14ac:dyDescent="0.25">
      <c r="K42" s="3"/>
      <c r="L42" s="3"/>
    </row>
    <row r="43" spans="2:12" x14ac:dyDescent="0.25">
      <c r="K43" s="3"/>
      <c r="L43" s="3"/>
    </row>
    <row r="44" spans="2:12" x14ac:dyDescent="0.25">
      <c r="L44" s="3"/>
    </row>
  </sheetData>
  <sheetProtection selectLockedCells="1" selectUnlockedCells="1"/>
  <mergeCells count="7">
    <mergeCell ref="B2:E2"/>
    <mergeCell ref="H2:L2"/>
    <mergeCell ref="H5:H7"/>
    <mergeCell ref="B5:B7"/>
    <mergeCell ref="C5:E6"/>
    <mergeCell ref="F5:F7"/>
    <mergeCell ref="G5:G7"/>
  </mergeCells>
  <conditionalFormatting sqref="G8:G38">
    <cfRule type="colorScale" priority="14">
      <colorScale>
        <cfvo type="num" val="0"/>
        <cfvo type="num" val="0.5"/>
        <color theme="9" tint="0.39997558519241921"/>
        <color theme="6" tint="0.59999389629810485"/>
      </colorScale>
    </cfRule>
  </conditionalFormatting>
  <conditionalFormatting sqref="H8:H38">
    <cfRule type="cellIs" dxfId="352" priority="8" operator="equal">
      <formula>1</formula>
    </cfRule>
    <cfRule type="cellIs" dxfId="351" priority="9" operator="between">
      <formula>0.8</formula>
      <formula>0.999</formula>
    </cfRule>
    <cfRule type="cellIs" dxfId="350" priority="10" operator="between">
      <formula>0.6</formula>
      <formula>0.7999</formula>
    </cfRule>
    <cfRule type="cellIs" dxfId="349" priority="11" operator="between">
      <formula>0.4</formula>
      <formula>0.5999</formula>
    </cfRule>
    <cfRule type="cellIs" dxfId="348" priority="12" operator="between">
      <formula>0.2</formula>
      <formula>0.3999</formula>
    </cfRule>
    <cfRule type="cellIs" dxfId="347" priority="13" operator="between">
      <formula>0</formula>
      <formula>0.1999</formula>
    </cfRule>
  </conditionalFormatting>
  <conditionalFormatting sqref="J8">
    <cfRule type="cellIs" dxfId="346" priority="2" operator="equal">
      <formula>1</formula>
    </cfRule>
    <cfRule type="cellIs" dxfId="345" priority="3" operator="between">
      <formula>0.8</formula>
      <formula>0.999</formula>
    </cfRule>
    <cfRule type="cellIs" dxfId="344" priority="4" operator="between">
      <formula>0.6</formula>
      <formula>0.7999</formula>
    </cfRule>
    <cfRule type="cellIs" dxfId="343" priority="5" operator="between">
      <formula>0.4</formula>
      <formula>0.5999</formula>
    </cfRule>
    <cfRule type="cellIs" dxfId="342" priority="6" operator="between">
      <formula>0.2</formula>
      <formula>0.3999</formula>
    </cfRule>
    <cfRule type="cellIs" dxfId="341" priority="7" operator="between">
      <formula>0</formula>
      <formula>0.1999</formula>
    </cfRule>
  </conditionalFormatting>
  <conditionalFormatting sqref="F8:F38">
    <cfRule type="colorScale" priority="1">
      <colorScale>
        <cfvo type="num" val="0"/>
        <cfvo type="num" val="0.5"/>
        <color rgb="FFFA9496"/>
        <color theme="3" tint="0.59999389629810485"/>
      </colorScale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AE1B-7E32-45C3-957C-1D7CE13D5042}">
  <dimension ref="B1:T80"/>
  <sheetViews>
    <sheetView zoomScaleNormal="100" workbookViewId="0">
      <selection activeCell="P8" sqref="P8"/>
    </sheetView>
  </sheetViews>
  <sheetFormatPr baseColWidth="10" defaultColWidth="11.42578125" defaultRowHeight="12.75" x14ac:dyDescent="0.2"/>
  <cols>
    <col min="1" max="1" customWidth="true" style="1" width="13.7109375" collapsed="true"/>
    <col min="2" max="18" customWidth="true" style="1" width="12.7109375" collapsed="true"/>
    <col min="19" max="16384" style="1" width="11.42578125" collapsed="true"/>
  </cols>
  <sheetData>
    <row r="1" spans="2:20" ht="13.5" thickBot="1" x14ac:dyDescent="0.25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40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3" spans="2:20" s="183" customFormat="1" ht="12.95" customHeight="1" x14ac:dyDescent="0.2"/>
    <row r="4" spans="2:20" s="183" customFormat="1" ht="12.95" customHeight="1" thickBot="1" x14ac:dyDescent="0.25">
      <c r="B4" s="184"/>
    </row>
    <row r="5" spans="2:20" s="183" customFormat="1" ht="12.95" customHeight="1" thickTop="1" thickBot="1" x14ac:dyDescent="0.25">
      <c r="B5" s="184"/>
      <c r="C5" s="418" t="s">
        <v>93</v>
      </c>
      <c r="D5" s="419"/>
      <c r="E5" s="410" t="s">
        <v>92</v>
      </c>
      <c r="F5" s="411"/>
      <c r="G5" s="410" t="s">
        <v>91</v>
      </c>
      <c r="H5" s="411"/>
      <c r="I5" s="410" t="s">
        <v>20</v>
      </c>
      <c r="J5" s="420"/>
      <c r="K5" s="185" t="s">
        <v>21</v>
      </c>
      <c r="N5" s="186"/>
      <c r="O5" s="410" t="s">
        <v>90</v>
      </c>
      <c r="P5" s="411"/>
    </row>
    <row r="6" spans="2:20" s="183" customFormat="1" ht="12.95" customHeight="1" thickTop="1" thickBot="1" x14ac:dyDescent="0.25">
      <c r="B6" s="416" t="s">
        <v>5</v>
      </c>
      <c r="C6" s="408" t="s">
        <v>45</v>
      </c>
      <c r="D6" s="409"/>
      <c r="E6" s="414" t="s">
        <v>89</v>
      </c>
      <c r="F6" s="414" t="s">
        <v>88</v>
      </c>
      <c r="G6" s="414" t="s">
        <v>89</v>
      </c>
      <c r="H6" s="414" t="s">
        <v>88</v>
      </c>
      <c r="I6" s="414" t="s">
        <v>89</v>
      </c>
      <c r="J6" s="414" t="s">
        <v>88</v>
      </c>
      <c r="K6" s="406" t="s">
        <v>89</v>
      </c>
      <c r="M6" s="187"/>
      <c r="N6" s="186"/>
      <c r="O6" s="412" t="s">
        <v>89</v>
      </c>
      <c r="P6" s="412" t="s">
        <v>88</v>
      </c>
      <c r="R6" s="403" t="s">
        <v>87</v>
      </c>
    </row>
    <row r="7" spans="2:20" s="183" customFormat="1" ht="12.95" customHeight="1" thickTop="1" thickBot="1" x14ac:dyDescent="0.25">
      <c r="B7" s="417"/>
      <c r="C7" s="188" t="s">
        <v>29</v>
      </c>
      <c r="D7" s="189" t="s">
        <v>28</v>
      </c>
      <c r="E7" s="415"/>
      <c r="F7" s="415"/>
      <c r="G7" s="407"/>
      <c r="H7" s="407"/>
      <c r="I7" s="415"/>
      <c r="J7" s="407"/>
      <c r="K7" s="407"/>
      <c r="N7" s="186"/>
      <c r="O7" s="413"/>
      <c r="P7" s="413"/>
      <c r="R7" s="403"/>
    </row>
    <row r="8" spans="2:20" s="183" customFormat="1" ht="12.95" customHeight="1" thickTop="1" thickBot="1" x14ac:dyDescent="0.25">
      <c r="B8" s="190">
        <v>1</v>
      </c>
      <c r="C8" s="191">
        <f>'Etat du Ciel'!Y7</f>
        <v>1</v>
      </c>
      <c r="D8" s="192">
        <f>'Etat du Ciel'!Z7</f>
        <v>1</v>
      </c>
      <c r="E8" s="193">
        <f>Vent!X9</f>
        <v>1</v>
      </c>
      <c r="F8" s="194">
        <f>Vent!Y9</f>
        <v>1</v>
      </c>
      <c r="G8" s="195">
        <f>Phenomenes!I8</f>
        <v>1</v>
      </c>
      <c r="H8" s="196">
        <f>Phenomenes!J8</f>
        <v>1</v>
      </c>
      <c r="I8" s="196">
        <f>Tmax!K8</f>
        <v>1</v>
      </c>
      <c r="J8" s="196">
        <f>Tmax!L8</f>
        <v>1</v>
      </c>
      <c r="K8" s="196">
        <f>Tmin!H8</f>
        <v>1</v>
      </c>
      <c r="N8" s="186"/>
      <c r="O8" s="191">
        <f t="shared" ref="O8:O38" si="0">AVERAGE(C8,E8,G8,I8,K8)</f>
        <v>1</v>
      </c>
      <c r="P8" s="197">
        <f t="shared" ref="P8:P38" si="1">AVERAGE(D8,F8,H8,J8)</f>
        <v>1</v>
      </c>
      <c r="R8" s="196">
        <f>AVERAGE(O8,P8)</f>
        <v>1</v>
      </c>
    </row>
    <row r="9" spans="2:20" s="183" customFormat="1" ht="12.95" customHeight="1" thickTop="1" thickBot="1" x14ac:dyDescent="0.25">
      <c r="B9" s="198">
        <f t="shared" ref="B9:B38" si="2">B8+1</f>
        <v>2</v>
      </c>
      <c r="C9" s="191">
        <f>'Etat du Ciel'!Y8</f>
        <v>1</v>
      </c>
      <c r="D9" s="192">
        <f>'Etat du Ciel'!Z8</f>
        <v>1</v>
      </c>
      <c r="E9" s="199">
        <f>Vent!X10</f>
        <v>1</v>
      </c>
      <c r="F9" s="200">
        <f>Vent!Y10</f>
        <v>1</v>
      </c>
      <c r="G9" s="197">
        <f>Phenomenes!I9</f>
        <v>1</v>
      </c>
      <c r="H9" s="191">
        <f>Phenomenes!J9</f>
        <v>1</v>
      </c>
      <c r="I9" s="191">
        <f>Tmax!K9</f>
        <v>1</v>
      </c>
      <c r="J9" s="191">
        <f>Tmax!L9</f>
        <v>1</v>
      </c>
      <c r="K9" s="191">
        <f>Tmin!H9</f>
        <v>1</v>
      </c>
      <c r="N9" s="186"/>
      <c r="O9" s="191">
        <f t="shared" si="0"/>
        <v>1</v>
      </c>
      <c r="P9" s="197">
        <f t="shared" si="1"/>
        <v>1</v>
      </c>
      <c r="R9" s="191">
        <f t="shared" ref="R9:R38" si="3">AVERAGE(O9,P9)</f>
        <v>1</v>
      </c>
    </row>
    <row r="10" spans="2:20" s="183" customFormat="1" ht="12.95" customHeight="1" thickTop="1" thickBot="1" x14ac:dyDescent="0.25">
      <c r="B10" s="198">
        <f t="shared" si="2"/>
        <v>3</v>
      </c>
      <c r="C10" s="191">
        <f>'Etat du Ciel'!Y9</f>
        <v>1</v>
      </c>
      <c r="D10" s="192">
        <f>'Etat du Ciel'!Z9</f>
        <v>1</v>
      </c>
      <c r="E10" s="199">
        <f>Vent!X11</f>
        <v>1</v>
      </c>
      <c r="F10" s="200">
        <f>Vent!Y11</f>
        <v>1</v>
      </c>
      <c r="G10" s="197">
        <f>Phenomenes!I10</f>
        <v>1</v>
      </c>
      <c r="H10" s="191">
        <f>Phenomenes!J10</f>
        <v>1</v>
      </c>
      <c r="I10" s="191">
        <f>Tmax!K10</f>
        <v>1</v>
      </c>
      <c r="J10" s="191">
        <f>Tmax!L10</f>
        <v>1</v>
      </c>
      <c r="K10" s="191">
        <f>Tmin!H10</f>
        <v>1</v>
      </c>
      <c r="N10" s="186"/>
      <c r="O10" s="191">
        <f t="shared" si="0"/>
        <v>1</v>
      </c>
      <c r="P10" s="197">
        <f t="shared" si="1"/>
        <v>1</v>
      </c>
      <c r="R10" s="191">
        <f t="shared" si="3"/>
        <v>1</v>
      </c>
    </row>
    <row r="11" spans="2:20" s="183" customFormat="1" ht="12.95" customHeight="1" thickTop="1" thickBot="1" x14ac:dyDescent="0.25">
      <c r="B11" s="198">
        <f t="shared" si="2"/>
        <v>4</v>
      </c>
      <c r="C11" s="191">
        <f>'Etat du Ciel'!Y10</f>
        <v>1</v>
      </c>
      <c r="D11" s="192">
        <f>'Etat du Ciel'!Z10</f>
        <v>1</v>
      </c>
      <c r="E11" s="199">
        <f>Vent!X12</f>
        <v>1</v>
      </c>
      <c r="F11" s="200">
        <f>Vent!Y12</f>
        <v>1</v>
      </c>
      <c r="G11" s="197">
        <f>Phenomenes!I11</f>
        <v>1</v>
      </c>
      <c r="H11" s="191">
        <f>Phenomenes!J11</f>
        <v>1</v>
      </c>
      <c r="I11" s="191">
        <f>Tmax!K11</f>
        <v>1</v>
      </c>
      <c r="J11" s="191">
        <f>Tmax!L11</f>
        <v>1</v>
      </c>
      <c r="K11" s="191">
        <f>Tmin!H11</f>
        <v>1</v>
      </c>
      <c r="N11" s="186"/>
      <c r="O11" s="191">
        <f t="shared" si="0"/>
        <v>1</v>
      </c>
      <c r="P11" s="197">
        <f t="shared" si="1"/>
        <v>1</v>
      </c>
      <c r="R11" s="191">
        <f t="shared" si="3"/>
        <v>1</v>
      </c>
    </row>
    <row r="12" spans="2:20" s="183" customFormat="1" ht="12.95" customHeight="1" thickTop="1" thickBot="1" x14ac:dyDescent="0.25">
      <c r="B12" s="198">
        <f t="shared" si="2"/>
        <v>5</v>
      </c>
      <c r="C12" s="191">
        <f>'Etat du Ciel'!Y11</f>
        <v>1</v>
      </c>
      <c r="D12" s="192">
        <f>'Etat du Ciel'!Z11</f>
        <v>1</v>
      </c>
      <c r="E12" s="199">
        <f>Vent!X13</f>
        <v>1</v>
      </c>
      <c r="F12" s="200">
        <f>Vent!Y13</f>
        <v>1</v>
      </c>
      <c r="G12" s="197">
        <f>Phenomenes!I12</f>
        <v>1</v>
      </c>
      <c r="H12" s="191">
        <f>Phenomenes!J12</f>
        <v>1</v>
      </c>
      <c r="I12" s="191">
        <f>Tmax!K12</f>
        <v>1</v>
      </c>
      <c r="J12" s="191">
        <f>Tmax!L12</f>
        <v>1</v>
      </c>
      <c r="K12" s="191">
        <f>Tmin!H12</f>
        <v>1</v>
      </c>
      <c r="N12" s="186"/>
      <c r="O12" s="191">
        <f t="shared" si="0"/>
        <v>1</v>
      </c>
      <c r="P12" s="197">
        <f t="shared" si="1"/>
        <v>1</v>
      </c>
      <c r="R12" s="191">
        <f t="shared" si="3"/>
        <v>1</v>
      </c>
    </row>
    <row r="13" spans="2:20" s="183" customFormat="1" ht="12.95" customHeight="1" thickTop="1" thickBot="1" x14ac:dyDescent="0.25">
      <c r="B13" s="198">
        <f t="shared" si="2"/>
        <v>6</v>
      </c>
      <c r="C13" s="191">
        <f>'Etat du Ciel'!Y12</f>
        <v>1</v>
      </c>
      <c r="D13" s="192">
        <f>'Etat du Ciel'!Z12</f>
        <v>1</v>
      </c>
      <c r="E13" s="199">
        <f>Vent!X14</f>
        <v>1</v>
      </c>
      <c r="F13" s="200">
        <f>Vent!Y14</f>
        <v>1</v>
      </c>
      <c r="G13" s="197">
        <f>Phenomenes!I13</f>
        <v>1</v>
      </c>
      <c r="H13" s="191">
        <f>Phenomenes!J13</f>
        <v>1</v>
      </c>
      <c r="I13" s="191">
        <f>Tmax!K13</f>
        <v>1</v>
      </c>
      <c r="J13" s="191">
        <f>Tmax!L13</f>
        <v>1</v>
      </c>
      <c r="K13" s="191">
        <f>Tmin!H13</f>
        <v>1</v>
      </c>
      <c r="N13" s="186"/>
      <c r="O13" s="191">
        <f t="shared" si="0"/>
        <v>1</v>
      </c>
      <c r="P13" s="197">
        <f t="shared" si="1"/>
        <v>1</v>
      </c>
      <c r="R13" s="191">
        <f t="shared" si="3"/>
        <v>1</v>
      </c>
    </row>
    <row r="14" spans="2:20" s="183" customFormat="1" ht="12.95" customHeight="1" thickTop="1" thickBot="1" x14ac:dyDescent="0.25">
      <c r="B14" s="198">
        <f t="shared" si="2"/>
        <v>7</v>
      </c>
      <c r="C14" s="191">
        <f>'Etat du Ciel'!Y13</f>
        <v>1</v>
      </c>
      <c r="D14" s="192">
        <f>'Etat du Ciel'!Z13</f>
        <v>1</v>
      </c>
      <c r="E14" s="199">
        <f>Vent!X15</f>
        <v>1</v>
      </c>
      <c r="F14" s="200">
        <f>Vent!Y15</f>
        <v>1</v>
      </c>
      <c r="G14" s="197">
        <f>Phenomenes!I14</f>
        <v>1</v>
      </c>
      <c r="H14" s="191">
        <f>Phenomenes!J14</f>
        <v>1</v>
      </c>
      <c r="I14" s="191">
        <f>Tmax!K14</f>
        <v>1</v>
      </c>
      <c r="J14" s="191">
        <f>Tmax!L14</f>
        <v>1</v>
      </c>
      <c r="K14" s="191">
        <f>Tmin!H14</f>
        <v>1</v>
      </c>
      <c r="N14" s="186"/>
      <c r="O14" s="191">
        <f t="shared" si="0"/>
        <v>1</v>
      </c>
      <c r="P14" s="197">
        <f t="shared" si="1"/>
        <v>1</v>
      </c>
      <c r="R14" s="191">
        <f t="shared" si="3"/>
        <v>1</v>
      </c>
    </row>
    <row r="15" spans="2:20" s="183" customFormat="1" ht="12.95" customHeight="1" thickTop="1" thickBot="1" x14ac:dyDescent="0.25">
      <c r="B15" s="198">
        <f t="shared" si="2"/>
        <v>8</v>
      </c>
      <c r="C15" s="191">
        <f>'Etat du Ciel'!Y14</f>
        <v>1</v>
      </c>
      <c r="D15" s="192">
        <f>'Etat du Ciel'!Z14</f>
        <v>1</v>
      </c>
      <c r="E15" s="199">
        <f>Vent!X16</f>
        <v>1</v>
      </c>
      <c r="F15" s="200">
        <f>Vent!Y16</f>
        <v>1</v>
      </c>
      <c r="G15" s="197">
        <f>Phenomenes!I15</f>
        <v>1</v>
      </c>
      <c r="H15" s="191">
        <f>Phenomenes!J15</f>
        <v>1</v>
      </c>
      <c r="I15" s="191">
        <f>Tmax!K15</f>
        <v>1</v>
      </c>
      <c r="J15" s="191">
        <f>Tmax!L15</f>
        <v>1</v>
      </c>
      <c r="K15" s="191">
        <f>Tmin!H15</f>
        <v>1</v>
      </c>
      <c r="N15" s="186"/>
      <c r="O15" s="191">
        <f t="shared" si="0"/>
        <v>1</v>
      </c>
      <c r="P15" s="197">
        <f t="shared" si="1"/>
        <v>1</v>
      </c>
      <c r="R15" s="191">
        <f t="shared" si="3"/>
        <v>1</v>
      </c>
    </row>
    <row r="16" spans="2:20" s="183" customFormat="1" ht="12.95" customHeight="1" thickTop="1" thickBot="1" x14ac:dyDescent="0.25">
      <c r="B16" s="198">
        <f t="shared" si="2"/>
        <v>9</v>
      </c>
      <c r="C16" s="191">
        <f>'Etat du Ciel'!Y15</f>
        <v>1</v>
      </c>
      <c r="D16" s="192">
        <f>'Etat du Ciel'!Z15</f>
        <v>1</v>
      </c>
      <c r="E16" s="199">
        <f>Vent!X17</f>
        <v>1</v>
      </c>
      <c r="F16" s="200">
        <f>Vent!Y17</f>
        <v>1</v>
      </c>
      <c r="G16" s="197">
        <f>Phenomenes!I16</f>
        <v>1</v>
      </c>
      <c r="H16" s="191">
        <f>Phenomenes!J16</f>
        <v>1</v>
      </c>
      <c r="I16" s="191">
        <f>Tmax!K16</f>
        <v>1</v>
      </c>
      <c r="J16" s="191">
        <f>Tmax!L16</f>
        <v>1</v>
      </c>
      <c r="K16" s="191">
        <f>Tmin!H16</f>
        <v>1</v>
      </c>
      <c r="N16" s="186"/>
      <c r="O16" s="191">
        <f t="shared" si="0"/>
        <v>1</v>
      </c>
      <c r="P16" s="197">
        <f t="shared" si="1"/>
        <v>1</v>
      </c>
      <c r="R16" s="191">
        <f t="shared" si="3"/>
        <v>1</v>
      </c>
    </row>
    <row r="17" spans="2:18" s="183" customFormat="1" ht="12.95" customHeight="1" thickTop="1" thickBot="1" x14ac:dyDescent="0.25">
      <c r="B17" s="198">
        <f t="shared" si="2"/>
        <v>10</v>
      </c>
      <c r="C17" s="191">
        <f>'Etat du Ciel'!Y16</f>
        <v>1</v>
      </c>
      <c r="D17" s="192">
        <f>'Etat du Ciel'!Z16</f>
        <v>1</v>
      </c>
      <c r="E17" s="199">
        <f>Vent!X18</f>
        <v>1</v>
      </c>
      <c r="F17" s="200">
        <f>Vent!Y18</f>
        <v>1</v>
      </c>
      <c r="G17" s="197">
        <f>Phenomenes!I17</f>
        <v>1</v>
      </c>
      <c r="H17" s="191">
        <f>Phenomenes!J17</f>
        <v>1</v>
      </c>
      <c r="I17" s="191">
        <f>Tmax!K17</f>
        <v>1</v>
      </c>
      <c r="J17" s="191">
        <f>Tmax!L17</f>
        <v>1</v>
      </c>
      <c r="K17" s="191">
        <f>Tmin!H17</f>
        <v>1</v>
      </c>
      <c r="N17" s="186"/>
      <c r="O17" s="191">
        <f t="shared" si="0"/>
        <v>1</v>
      </c>
      <c r="P17" s="197">
        <f t="shared" si="1"/>
        <v>1</v>
      </c>
      <c r="R17" s="191">
        <f t="shared" si="3"/>
        <v>1</v>
      </c>
    </row>
    <row r="18" spans="2:18" s="183" customFormat="1" ht="12.95" customHeight="1" thickTop="1" thickBot="1" x14ac:dyDescent="0.25">
      <c r="B18" s="198">
        <f t="shared" si="2"/>
        <v>11</v>
      </c>
      <c r="C18" s="191">
        <f>'Etat du Ciel'!Y17</f>
        <v>1</v>
      </c>
      <c r="D18" s="192">
        <f>'Etat du Ciel'!Z17</f>
        <v>1</v>
      </c>
      <c r="E18" s="199">
        <f>Vent!X19</f>
        <v>1</v>
      </c>
      <c r="F18" s="200">
        <f>Vent!Y19</f>
        <v>1</v>
      </c>
      <c r="G18" s="197">
        <f>Phenomenes!I18</f>
        <v>1</v>
      </c>
      <c r="H18" s="191">
        <f>Phenomenes!J18</f>
        <v>1</v>
      </c>
      <c r="I18" s="191">
        <f>Tmax!K18</f>
        <v>1</v>
      </c>
      <c r="J18" s="191">
        <f>Tmax!L18</f>
        <v>1</v>
      </c>
      <c r="K18" s="191">
        <f>Tmin!H18</f>
        <v>1</v>
      </c>
      <c r="N18" s="186"/>
      <c r="O18" s="191">
        <f t="shared" si="0"/>
        <v>1</v>
      </c>
      <c r="P18" s="197">
        <f t="shared" si="1"/>
        <v>1</v>
      </c>
      <c r="R18" s="191">
        <f t="shared" si="3"/>
        <v>1</v>
      </c>
    </row>
    <row r="19" spans="2:18" s="183" customFormat="1" ht="12.95" customHeight="1" thickTop="1" thickBot="1" x14ac:dyDescent="0.25">
      <c r="B19" s="198">
        <f t="shared" si="2"/>
        <v>12</v>
      </c>
      <c r="C19" s="191">
        <f>'Etat du Ciel'!Y18</f>
        <v>1</v>
      </c>
      <c r="D19" s="192">
        <f>'Etat du Ciel'!Z18</f>
        <v>1</v>
      </c>
      <c r="E19" s="199">
        <f>Vent!X20</f>
        <v>1</v>
      </c>
      <c r="F19" s="200">
        <f>Vent!Y20</f>
        <v>1</v>
      </c>
      <c r="G19" s="197">
        <f>Phenomenes!I19</f>
        <v>1</v>
      </c>
      <c r="H19" s="191">
        <f>Phenomenes!J19</f>
        <v>1</v>
      </c>
      <c r="I19" s="191">
        <f>Tmax!K19</f>
        <v>1</v>
      </c>
      <c r="J19" s="191">
        <f>Tmax!L19</f>
        <v>1</v>
      </c>
      <c r="K19" s="191">
        <f>Tmin!H19</f>
        <v>1</v>
      </c>
      <c r="N19" s="186"/>
      <c r="O19" s="191">
        <f t="shared" si="0"/>
        <v>1</v>
      </c>
      <c r="P19" s="197">
        <f t="shared" si="1"/>
        <v>1</v>
      </c>
      <c r="R19" s="191">
        <f t="shared" si="3"/>
        <v>1</v>
      </c>
    </row>
    <row r="20" spans="2:18" s="183" customFormat="1" ht="12.95" customHeight="1" thickTop="1" thickBot="1" x14ac:dyDescent="0.25">
      <c r="B20" s="198">
        <f t="shared" si="2"/>
        <v>13</v>
      </c>
      <c r="C20" s="191">
        <f>'Etat du Ciel'!Y19</f>
        <v>1</v>
      </c>
      <c r="D20" s="192">
        <f>'Etat du Ciel'!Z19</f>
        <v>1</v>
      </c>
      <c r="E20" s="199">
        <f>Vent!X21</f>
        <v>1</v>
      </c>
      <c r="F20" s="200">
        <f>Vent!Y21</f>
        <v>1</v>
      </c>
      <c r="G20" s="197">
        <f>Phenomenes!I20</f>
        <v>1</v>
      </c>
      <c r="H20" s="191">
        <f>Phenomenes!J20</f>
        <v>1</v>
      </c>
      <c r="I20" s="191">
        <f>Tmax!K20</f>
        <v>1</v>
      </c>
      <c r="J20" s="191">
        <f>Tmax!L20</f>
        <v>1</v>
      </c>
      <c r="K20" s="191">
        <f>Tmin!H20</f>
        <v>1</v>
      </c>
      <c r="N20" s="186"/>
      <c r="O20" s="191">
        <f t="shared" si="0"/>
        <v>1</v>
      </c>
      <c r="P20" s="197">
        <f t="shared" si="1"/>
        <v>1</v>
      </c>
      <c r="R20" s="191">
        <f t="shared" si="3"/>
        <v>1</v>
      </c>
    </row>
    <row r="21" spans="2:18" s="183" customFormat="1" ht="12.95" customHeight="1" thickTop="1" thickBot="1" x14ac:dyDescent="0.25">
      <c r="B21" s="198">
        <f t="shared" si="2"/>
        <v>14</v>
      </c>
      <c r="C21" s="191">
        <f>'Etat du Ciel'!Y20</f>
        <v>1</v>
      </c>
      <c r="D21" s="192">
        <f>'Etat du Ciel'!Z20</f>
        <v>1</v>
      </c>
      <c r="E21" s="199">
        <f>Vent!X22</f>
        <v>1</v>
      </c>
      <c r="F21" s="200">
        <f>Vent!Y22</f>
        <v>1</v>
      </c>
      <c r="G21" s="197">
        <f>Phenomenes!I21</f>
        <v>1</v>
      </c>
      <c r="H21" s="191">
        <f>Phenomenes!J21</f>
        <v>1</v>
      </c>
      <c r="I21" s="191">
        <f>Tmax!K21</f>
        <v>1</v>
      </c>
      <c r="J21" s="191">
        <f>Tmax!L21</f>
        <v>1</v>
      </c>
      <c r="K21" s="191">
        <f>Tmin!H21</f>
        <v>1</v>
      </c>
      <c r="N21" s="186"/>
      <c r="O21" s="191">
        <f t="shared" si="0"/>
        <v>1</v>
      </c>
      <c r="P21" s="197">
        <f t="shared" si="1"/>
        <v>1</v>
      </c>
      <c r="R21" s="191">
        <f t="shared" si="3"/>
        <v>1</v>
      </c>
    </row>
    <row r="22" spans="2:18" s="183" customFormat="1" ht="12.95" customHeight="1" thickTop="1" thickBot="1" x14ac:dyDescent="0.25">
      <c r="B22" s="198">
        <f t="shared" si="2"/>
        <v>15</v>
      </c>
      <c r="C22" s="191">
        <f>'Etat du Ciel'!Y21</f>
        <v>1</v>
      </c>
      <c r="D22" s="192">
        <f>'Etat du Ciel'!Z21</f>
        <v>1</v>
      </c>
      <c r="E22" s="199">
        <f>Vent!X23</f>
        <v>1</v>
      </c>
      <c r="F22" s="200">
        <f>Vent!Y23</f>
        <v>1</v>
      </c>
      <c r="G22" s="197">
        <f>Phenomenes!I22</f>
        <v>1</v>
      </c>
      <c r="H22" s="191">
        <f>Phenomenes!J22</f>
        <v>1</v>
      </c>
      <c r="I22" s="191">
        <f>Tmax!K22</f>
        <v>1</v>
      </c>
      <c r="J22" s="191">
        <f>Tmax!L22</f>
        <v>1</v>
      </c>
      <c r="K22" s="191">
        <f>Tmin!H22</f>
        <v>1</v>
      </c>
      <c r="N22" s="186"/>
      <c r="O22" s="191">
        <f t="shared" si="0"/>
        <v>1</v>
      </c>
      <c r="P22" s="197">
        <f t="shared" si="1"/>
        <v>1</v>
      </c>
      <c r="R22" s="191">
        <f t="shared" si="3"/>
        <v>1</v>
      </c>
    </row>
    <row r="23" spans="2:18" s="183" customFormat="1" ht="12.95" customHeight="1" thickTop="1" thickBot="1" x14ac:dyDescent="0.25">
      <c r="B23" s="198">
        <f t="shared" si="2"/>
        <v>16</v>
      </c>
      <c r="C23" s="191">
        <f>'Etat du Ciel'!Y22</f>
        <v>1</v>
      </c>
      <c r="D23" s="192">
        <f>'Etat du Ciel'!Z22</f>
        <v>1</v>
      </c>
      <c r="E23" s="199">
        <f>Vent!X24</f>
        <v>1</v>
      </c>
      <c r="F23" s="200">
        <f>Vent!Y24</f>
        <v>1</v>
      </c>
      <c r="G23" s="197">
        <f>Phenomenes!I23</f>
        <v>1</v>
      </c>
      <c r="H23" s="191">
        <f>Phenomenes!J23</f>
        <v>1</v>
      </c>
      <c r="I23" s="191">
        <f>Tmax!K23</f>
        <v>1</v>
      </c>
      <c r="J23" s="191">
        <f>Tmax!L23</f>
        <v>1</v>
      </c>
      <c r="K23" s="191">
        <f>Tmin!H23</f>
        <v>1</v>
      </c>
      <c r="N23" s="186"/>
      <c r="O23" s="191">
        <f t="shared" si="0"/>
        <v>1</v>
      </c>
      <c r="P23" s="197">
        <f t="shared" si="1"/>
        <v>1</v>
      </c>
      <c r="R23" s="191">
        <f t="shared" si="3"/>
        <v>1</v>
      </c>
    </row>
    <row r="24" spans="2:18" s="183" customFormat="1" ht="12.95" customHeight="1" thickTop="1" thickBot="1" x14ac:dyDescent="0.25">
      <c r="B24" s="198">
        <f t="shared" si="2"/>
        <v>17</v>
      </c>
      <c r="C24" s="191">
        <f>'Etat du Ciel'!Y23</f>
        <v>1</v>
      </c>
      <c r="D24" s="192">
        <f>'Etat du Ciel'!Z23</f>
        <v>1</v>
      </c>
      <c r="E24" s="199">
        <f>Vent!X25</f>
        <v>1</v>
      </c>
      <c r="F24" s="200">
        <f>Vent!Y25</f>
        <v>1</v>
      </c>
      <c r="G24" s="197">
        <f>Phenomenes!I24</f>
        <v>1</v>
      </c>
      <c r="H24" s="191">
        <f>Phenomenes!J24</f>
        <v>1</v>
      </c>
      <c r="I24" s="191">
        <f>Tmax!K24</f>
        <v>1</v>
      </c>
      <c r="J24" s="191">
        <f>Tmax!L24</f>
        <v>1</v>
      </c>
      <c r="K24" s="191">
        <f>Tmin!H24</f>
        <v>1</v>
      </c>
      <c r="N24" s="186"/>
      <c r="O24" s="191">
        <f t="shared" si="0"/>
        <v>1</v>
      </c>
      <c r="P24" s="197">
        <f t="shared" si="1"/>
        <v>1</v>
      </c>
      <c r="R24" s="191">
        <f t="shared" si="3"/>
        <v>1</v>
      </c>
    </row>
    <row r="25" spans="2:18" s="183" customFormat="1" ht="12.95" customHeight="1" thickTop="1" thickBot="1" x14ac:dyDescent="0.25">
      <c r="B25" s="198">
        <f t="shared" si="2"/>
        <v>18</v>
      </c>
      <c r="C25" s="191">
        <f>'Etat du Ciel'!Y24</f>
        <v>1</v>
      </c>
      <c r="D25" s="192">
        <f>'Etat du Ciel'!Z24</f>
        <v>1</v>
      </c>
      <c r="E25" s="199">
        <f>Vent!X26</f>
        <v>1</v>
      </c>
      <c r="F25" s="200">
        <f>Vent!Y26</f>
        <v>1</v>
      </c>
      <c r="G25" s="197">
        <f>Phenomenes!I25</f>
        <v>1</v>
      </c>
      <c r="H25" s="191">
        <f>Phenomenes!J25</f>
        <v>1</v>
      </c>
      <c r="I25" s="191">
        <f>Tmax!K25</f>
        <v>1</v>
      </c>
      <c r="J25" s="191">
        <f>Tmax!L25</f>
        <v>1</v>
      </c>
      <c r="K25" s="191">
        <f>Tmin!H25</f>
        <v>1</v>
      </c>
      <c r="N25" s="186"/>
      <c r="O25" s="191">
        <f t="shared" si="0"/>
        <v>1</v>
      </c>
      <c r="P25" s="197">
        <f t="shared" si="1"/>
        <v>1</v>
      </c>
      <c r="R25" s="191">
        <f t="shared" si="3"/>
        <v>1</v>
      </c>
    </row>
    <row r="26" spans="2:18" s="183" customFormat="1" ht="12.95" customHeight="1" thickTop="1" thickBot="1" x14ac:dyDescent="0.25">
      <c r="B26" s="198">
        <f t="shared" si="2"/>
        <v>19</v>
      </c>
      <c r="C26" s="191">
        <f>'Etat du Ciel'!Y25</f>
        <v>1</v>
      </c>
      <c r="D26" s="192">
        <f>'Etat du Ciel'!Z25</f>
        <v>1</v>
      </c>
      <c r="E26" s="199">
        <f>Vent!X27</f>
        <v>1</v>
      </c>
      <c r="F26" s="200">
        <f>Vent!Y27</f>
        <v>1</v>
      </c>
      <c r="G26" s="197">
        <f>Phenomenes!I26</f>
        <v>1</v>
      </c>
      <c r="H26" s="191">
        <f>Phenomenes!J26</f>
        <v>1</v>
      </c>
      <c r="I26" s="191">
        <f>Tmax!K26</f>
        <v>1</v>
      </c>
      <c r="J26" s="191">
        <f>Tmax!L26</f>
        <v>1</v>
      </c>
      <c r="K26" s="191">
        <f>Tmin!H26</f>
        <v>1</v>
      </c>
      <c r="N26" s="186"/>
      <c r="O26" s="191">
        <f t="shared" si="0"/>
        <v>1</v>
      </c>
      <c r="P26" s="197">
        <f t="shared" si="1"/>
        <v>1</v>
      </c>
      <c r="R26" s="191">
        <f t="shared" si="3"/>
        <v>1</v>
      </c>
    </row>
    <row r="27" spans="2:18" s="183" customFormat="1" ht="12.95" customHeight="1" thickTop="1" thickBot="1" x14ac:dyDescent="0.25">
      <c r="B27" s="198">
        <f t="shared" si="2"/>
        <v>20</v>
      </c>
      <c r="C27" s="191">
        <f>'Etat du Ciel'!Y26</f>
        <v>1</v>
      </c>
      <c r="D27" s="192">
        <f>'Etat du Ciel'!Z26</f>
        <v>1</v>
      </c>
      <c r="E27" s="199">
        <f>Vent!X28</f>
        <v>1</v>
      </c>
      <c r="F27" s="200">
        <f>Vent!Y28</f>
        <v>1</v>
      </c>
      <c r="G27" s="197">
        <f>Phenomenes!I27</f>
        <v>1</v>
      </c>
      <c r="H27" s="191">
        <f>Phenomenes!J27</f>
        <v>1</v>
      </c>
      <c r="I27" s="191">
        <f>Tmax!K27</f>
        <v>1</v>
      </c>
      <c r="J27" s="191">
        <f>Tmax!L27</f>
        <v>1</v>
      </c>
      <c r="K27" s="191">
        <f>Tmin!H27</f>
        <v>1</v>
      </c>
      <c r="N27" s="186"/>
      <c r="O27" s="191">
        <f t="shared" si="0"/>
        <v>1</v>
      </c>
      <c r="P27" s="197">
        <f t="shared" si="1"/>
        <v>1</v>
      </c>
      <c r="R27" s="191">
        <f t="shared" si="3"/>
        <v>1</v>
      </c>
    </row>
    <row r="28" spans="2:18" s="183" customFormat="1" ht="12.95" customHeight="1" thickTop="1" thickBot="1" x14ac:dyDescent="0.25">
      <c r="B28" s="198">
        <f t="shared" si="2"/>
        <v>21</v>
      </c>
      <c r="C28" s="191">
        <f>'Etat du Ciel'!Y27</f>
        <v>1</v>
      </c>
      <c r="D28" s="192">
        <f>'Etat du Ciel'!Z27</f>
        <v>1</v>
      </c>
      <c r="E28" s="199">
        <f>Vent!X29</f>
        <v>1</v>
      </c>
      <c r="F28" s="200">
        <f>Vent!Y29</f>
        <v>1</v>
      </c>
      <c r="G28" s="197">
        <f>Phenomenes!I28</f>
        <v>1</v>
      </c>
      <c r="H28" s="191">
        <f>Phenomenes!J28</f>
        <v>1</v>
      </c>
      <c r="I28" s="191">
        <f>Tmax!K28</f>
        <v>1</v>
      </c>
      <c r="J28" s="191">
        <f>Tmax!L28</f>
        <v>1</v>
      </c>
      <c r="K28" s="191">
        <f>Tmin!H28</f>
        <v>1</v>
      </c>
      <c r="N28" s="186"/>
      <c r="O28" s="191">
        <f t="shared" si="0"/>
        <v>1</v>
      </c>
      <c r="P28" s="197">
        <f t="shared" si="1"/>
        <v>1</v>
      </c>
      <c r="R28" s="191">
        <f t="shared" si="3"/>
        <v>1</v>
      </c>
    </row>
    <row r="29" spans="2:18" s="183" customFormat="1" ht="12.95" customHeight="1" thickTop="1" thickBot="1" x14ac:dyDescent="0.25">
      <c r="B29" s="198">
        <f t="shared" si="2"/>
        <v>22</v>
      </c>
      <c r="C29" s="191">
        <f>'Etat du Ciel'!Y28</f>
        <v>1</v>
      </c>
      <c r="D29" s="192">
        <f>'Etat du Ciel'!Z28</f>
        <v>1</v>
      </c>
      <c r="E29" s="199">
        <f>Vent!X30</f>
        <v>1</v>
      </c>
      <c r="F29" s="200">
        <f>Vent!Y30</f>
        <v>1</v>
      </c>
      <c r="G29" s="197">
        <f>Phenomenes!I29</f>
        <v>1</v>
      </c>
      <c r="H29" s="191">
        <f>Phenomenes!J29</f>
        <v>1</v>
      </c>
      <c r="I29" s="191">
        <f>Tmax!K29</f>
        <v>1</v>
      </c>
      <c r="J29" s="191">
        <f>Tmax!L29</f>
        <v>1</v>
      </c>
      <c r="K29" s="191">
        <f>Tmin!H29</f>
        <v>1</v>
      </c>
      <c r="N29" s="186"/>
      <c r="O29" s="191">
        <f t="shared" si="0"/>
        <v>1</v>
      </c>
      <c r="P29" s="197">
        <f t="shared" si="1"/>
        <v>1</v>
      </c>
      <c r="R29" s="191">
        <f t="shared" si="3"/>
        <v>1</v>
      </c>
    </row>
    <row r="30" spans="2:18" s="183" customFormat="1" ht="12.95" customHeight="1" thickTop="1" thickBot="1" x14ac:dyDescent="0.25">
      <c r="B30" s="198">
        <f t="shared" si="2"/>
        <v>23</v>
      </c>
      <c r="C30" s="191">
        <f>'Etat du Ciel'!Y29</f>
        <v>1</v>
      </c>
      <c r="D30" s="192">
        <f>'Etat du Ciel'!Z29</f>
        <v>1</v>
      </c>
      <c r="E30" s="199">
        <f>Vent!X31</f>
        <v>1</v>
      </c>
      <c r="F30" s="200">
        <f>Vent!Y31</f>
        <v>1</v>
      </c>
      <c r="G30" s="197">
        <f>Phenomenes!I30</f>
        <v>1</v>
      </c>
      <c r="H30" s="191">
        <f>Phenomenes!J30</f>
        <v>1</v>
      </c>
      <c r="I30" s="191">
        <f>Tmax!K30</f>
        <v>1</v>
      </c>
      <c r="J30" s="191">
        <f>Tmax!L30</f>
        <v>1</v>
      </c>
      <c r="K30" s="191">
        <f>Tmin!H30</f>
        <v>1</v>
      </c>
      <c r="N30" s="186"/>
      <c r="O30" s="191">
        <f t="shared" si="0"/>
        <v>1</v>
      </c>
      <c r="P30" s="197">
        <f t="shared" si="1"/>
        <v>1</v>
      </c>
      <c r="R30" s="191">
        <f t="shared" si="3"/>
        <v>1</v>
      </c>
    </row>
    <row r="31" spans="2:18" s="183" customFormat="1" ht="12.95" customHeight="1" thickTop="1" thickBot="1" x14ac:dyDescent="0.25">
      <c r="B31" s="198">
        <f t="shared" si="2"/>
        <v>24</v>
      </c>
      <c r="C31" s="191">
        <f>'Etat du Ciel'!Y30</f>
        <v>1</v>
      </c>
      <c r="D31" s="192">
        <f>'Etat du Ciel'!Z30</f>
        <v>1</v>
      </c>
      <c r="E31" s="199">
        <f>Vent!X32</f>
        <v>1</v>
      </c>
      <c r="F31" s="200">
        <f>Vent!Y32</f>
        <v>1</v>
      </c>
      <c r="G31" s="197">
        <f>Phenomenes!I31</f>
        <v>1</v>
      </c>
      <c r="H31" s="191">
        <f>Phenomenes!J31</f>
        <v>1</v>
      </c>
      <c r="I31" s="191">
        <f>Tmax!K31</f>
        <v>1</v>
      </c>
      <c r="J31" s="191">
        <f>Tmax!L31</f>
        <v>1</v>
      </c>
      <c r="K31" s="191">
        <f>Tmin!H31</f>
        <v>1</v>
      </c>
      <c r="N31" s="186"/>
      <c r="O31" s="191">
        <f t="shared" si="0"/>
        <v>1</v>
      </c>
      <c r="P31" s="197">
        <f t="shared" si="1"/>
        <v>1</v>
      </c>
      <c r="R31" s="191">
        <f t="shared" si="3"/>
        <v>1</v>
      </c>
    </row>
    <row r="32" spans="2:18" s="183" customFormat="1" ht="12.95" customHeight="1" thickTop="1" thickBot="1" x14ac:dyDescent="0.25">
      <c r="B32" s="198">
        <f t="shared" si="2"/>
        <v>25</v>
      </c>
      <c r="C32" s="191">
        <f>'Etat du Ciel'!Y31</f>
        <v>1</v>
      </c>
      <c r="D32" s="192">
        <f>'Etat du Ciel'!Z31</f>
        <v>1</v>
      </c>
      <c r="E32" s="199">
        <f>Vent!X33</f>
        <v>1</v>
      </c>
      <c r="F32" s="200">
        <f>Vent!Y33</f>
        <v>1</v>
      </c>
      <c r="G32" s="197">
        <f>Phenomenes!I32</f>
        <v>1</v>
      </c>
      <c r="H32" s="191">
        <f>Phenomenes!J32</f>
        <v>1</v>
      </c>
      <c r="I32" s="191">
        <f>Tmax!K32</f>
        <v>1</v>
      </c>
      <c r="J32" s="191">
        <f>Tmax!L32</f>
        <v>1</v>
      </c>
      <c r="K32" s="191">
        <f>Tmin!H32</f>
        <v>1</v>
      </c>
      <c r="N32" s="186"/>
      <c r="O32" s="191">
        <f t="shared" si="0"/>
        <v>1</v>
      </c>
      <c r="P32" s="197">
        <f t="shared" si="1"/>
        <v>1</v>
      </c>
      <c r="R32" s="191">
        <f t="shared" si="3"/>
        <v>1</v>
      </c>
    </row>
    <row r="33" spans="2:18" s="183" customFormat="1" ht="12.95" customHeight="1" thickTop="1" thickBot="1" x14ac:dyDescent="0.25">
      <c r="B33" s="198">
        <f t="shared" si="2"/>
        <v>26</v>
      </c>
      <c r="C33" s="191">
        <f>'Etat du Ciel'!Y32</f>
        <v>1</v>
      </c>
      <c r="D33" s="192">
        <f>'Etat du Ciel'!Z32</f>
        <v>1</v>
      </c>
      <c r="E33" s="199">
        <f>Vent!X34</f>
        <v>1</v>
      </c>
      <c r="F33" s="200">
        <f>Vent!Y34</f>
        <v>1</v>
      </c>
      <c r="G33" s="197">
        <f>Phenomenes!I33</f>
        <v>1</v>
      </c>
      <c r="H33" s="191">
        <f>Phenomenes!J33</f>
        <v>1</v>
      </c>
      <c r="I33" s="191">
        <f>Tmax!K33</f>
        <v>1</v>
      </c>
      <c r="J33" s="191">
        <f>Tmax!L33</f>
        <v>1</v>
      </c>
      <c r="K33" s="191">
        <f>Tmin!H33</f>
        <v>1</v>
      </c>
      <c r="N33" s="186"/>
      <c r="O33" s="191">
        <f t="shared" si="0"/>
        <v>1</v>
      </c>
      <c r="P33" s="197">
        <f t="shared" si="1"/>
        <v>1</v>
      </c>
      <c r="R33" s="191">
        <f t="shared" si="3"/>
        <v>1</v>
      </c>
    </row>
    <row r="34" spans="2:18" s="183" customFormat="1" ht="12.95" customHeight="1" thickTop="1" thickBot="1" x14ac:dyDescent="0.25">
      <c r="B34" s="198">
        <f t="shared" si="2"/>
        <v>27</v>
      </c>
      <c r="C34" s="191">
        <f>'Etat du Ciel'!Y33</f>
        <v>1</v>
      </c>
      <c r="D34" s="192">
        <f>'Etat du Ciel'!Z33</f>
        <v>1</v>
      </c>
      <c r="E34" s="199">
        <f>Vent!X35</f>
        <v>1</v>
      </c>
      <c r="F34" s="200">
        <f>Vent!Y35</f>
        <v>1</v>
      </c>
      <c r="G34" s="197">
        <f>Phenomenes!I34</f>
        <v>1</v>
      </c>
      <c r="H34" s="191">
        <f>Phenomenes!J34</f>
        <v>1</v>
      </c>
      <c r="I34" s="191">
        <f>Tmax!K34</f>
        <v>1</v>
      </c>
      <c r="J34" s="191">
        <f>Tmax!L34</f>
        <v>1</v>
      </c>
      <c r="K34" s="191">
        <f>Tmin!H34</f>
        <v>1</v>
      </c>
      <c r="N34" s="186"/>
      <c r="O34" s="191">
        <f t="shared" si="0"/>
        <v>1</v>
      </c>
      <c r="P34" s="197">
        <f t="shared" si="1"/>
        <v>1</v>
      </c>
      <c r="R34" s="191">
        <f t="shared" si="3"/>
        <v>1</v>
      </c>
    </row>
    <row r="35" spans="2:18" s="183" customFormat="1" ht="12.95" customHeight="1" thickTop="1" thickBot="1" x14ac:dyDescent="0.25">
      <c r="B35" s="198">
        <f t="shared" si="2"/>
        <v>28</v>
      </c>
      <c r="C35" s="191">
        <f>'Etat du Ciel'!Y34</f>
        <v>1</v>
      </c>
      <c r="D35" s="192">
        <f>'Etat du Ciel'!Z34</f>
        <v>1</v>
      </c>
      <c r="E35" s="199">
        <f>Vent!X36</f>
        <v>1</v>
      </c>
      <c r="F35" s="200">
        <f>Vent!Y36</f>
        <v>1</v>
      </c>
      <c r="G35" s="197">
        <f>Phenomenes!I35</f>
        <v>1</v>
      </c>
      <c r="H35" s="191">
        <f>Phenomenes!J35</f>
        <v>1</v>
      </c>
      <c r="I35" s="191">
        <f>Tmax!K35</f>
        <v>1</v>
      </c>
      <c r="J35" s="191">
        <f>Tmax!L35</f>
        <v>1</v>
      </c>
      <c r="K35" s="191">
        <f>Tmin!H35</f>
        <v>1</v>
      </c>
      <c r="N35" s="186"/>
      <c r="O35" s="191">
        <f t="shared" si="0"/>
        <v>1</v>
      </c>
      <c r="P35" s="197">
        <f t="shared" si="1"/>
        <v>1</v>
      </c>
      <c r="R35" s="191">
        <f t="shared" si="3"/>
        <v>1</v>
      </c>
    </row>
    <row r="36" spans="2:18" s="183" customFormat="1" ht="12.95" customHeight="1" thickTop="1" thickBot="1" x14ac:dyDescent="0.25">
      <c r="B36" s="198">
        <f t="shared" si="2"/>
        <v>29</v>
      </c>
      <c r="C36" s="191">
        <f>'Etat du Ciel'!Y35</f>
        <v>1</v>
      </c>
      <c r="D36" s="192">
        <f>'Etat du Ciel'!Z35</f>
        <v>1</v>
      </c>
      <c r="E36" s="199">
        <f>Vent!X37</f>
        <v>1</v>
      </c>
      <c r="F36" s="200">
        <f>Vent!Y37</f>
        <v>1</v>
      </c>
      <c r="G36" s="197">
        <f>Phenomenes!I36</f>
        <v>1</v>
      </c>
      <c r="H36" s="191">
        <f>Phenomenes!J36</f>
        <v>1</v>
      </c>
      <c r="I36" s="191">
        <f>Tmax!K36</f>
        <v>1</v>
      </c>
      <c r="J36" s="191">
        <f>Tmax!L36</f>
        <v>1</v>
      </c>
      <c r="K36" s="191">
        <f>Tmin!H36</f>
        <v>1</v>
      </c>
      <c r="N36" s="186"/>
      <c r="O36" s="191">
        <f t="shared" si="0"/>
        <v>1</v>
      </c>
      <c r="P36" s="197">
        <f t="shared" si="1"/>
        <v>1</v>
      </c>
      <c r="R36" s="191">
        <f t="shared" si="3"/>
        <v>1</v>
      </c>
    </row>
    <row r="37" spans="2:18" s="183" customFormat="1" ht="12.95" customHeight="1" thickTop="1" thickBot="1" x14ac:dyDescent="0.25">
      <c r="B37" s="198">
        <f t="shared" si="2"/>
        <v>30</v>
      </c>
      <c r="C37" s="191">
        <f>'Etat du Ciel'!Y36</f>
        <v>1</v>
      </c>
      <c r="D37" s="192">
        <f>'Etat du Ciel'!Z36</f>
        <v>1</v>
      </c>
      <c r="E37" s="199">
        <f>Vent!X38</f>
        <v>1</v>
      </c>
      <c r="F37" s="200">
        <f>Vent!Y38</f>
        <v>1</v>
      </c>
      <c r="G37" s="197">
        <f>Phenomenes!I37</f>
        <v>1</v>
      </c>
      <c r="H37" s="191">
        <f>Phenomenes!J37</f>
        <v>1</v>
      </c>
      <c r="I37" s="191">
        <f>Tmax!K37</f>
        <v>1</v>
      </c>
      <c r="J37" s="191">
        <f>Tmax!L37</f>
        <v>1</v>
      </c>
      <c r="K37" s="191">
        <f>Tmin!H37</f>
        <v>1</v>
      </c>
      <c r="N37" s="186"/>
      <c r="O37" s="191">
        <f t="shared" si="0"/>
        <v>1</v>
      </c>
      <c r="P37" s="197">
        <f t="shared" si="1"/>
        <v>1</v>
      </c>
      <c r="R37" s="191">
        <f t="shared" si="3"/>
        <v>1</v>
      </c>
    </row>
    <row r="38" spans="2:18" s="183" customFormat="1" ht="12.95" customHeight="1" thickTop="1" thickBot="1" x14ac:dyDescent="0.25">
      <c r="B38" s="201">
        <f t="shared" si="2"/>
        <v>31</v>
      </c>
      <c r="C38" s="202">
        <f>'Etat du Ciel'!Y37</f>
        <v>1</v>
      </c>
      <c r="D38" s="203">
        <f>'Etat du Ciel'!Z37</f>
        <v>1</v>
      </c>
      <c r="E38" s="204">
        <f>Vent!X39</f>
        <v>1</v>
      </c>
      <c r="F38" s="205">
        <f>Vent!Y39</f>
        <v>1</v>
      </c>
      <c r="G38" s="206">
        <f>Phenomenes!I38</f>
        <v>1</v>
      </c>
      <c r="H38" s="202">
        <f>Phenomenes!J38</f>
        <v>1</v>
      </c>
      <c r="I38" s="202">
        <f>Tmax!K38</f>
        <v>1</v>
      </c>
      <c r="J38" s="202">
        <f>Tmax!L38</f>
        <v>1</v>
      </c>
      <c r="K38" s="202">
        <f>Tmin!H38</f>
        <v>1</v>
      </c>
      <c r="N38" s="207"/>
      <c r="O38" s="208">
        <f t="shared" si="0"/>
        <v>1</v>
      </c>
      <c r="P38" s="209">
        <f t="shared" si="1"/>
        <v>1</v>
      </c>
      <c r="R38" s="202">
        <f t="shared" si="3"/>
        <v>1</v>
      </c>
    </row>
    <row r="39" spans="2:18" s="183" customFormat="1" ht="12.95" customHeight="1" thickTop="1" thickBot="1" x14ac:dyDescent="0.25">
      <c r="B39" s="210"/>
      <c r="C39" s="210"/>
      <c r="D39" s="210"/>
      <c r="E39" s="211"/>
      <c r="F39" s="211"/>
      <c r="G39" s="210"/>
      <c r="H39" s="210"/>
      <c r="J39" s="210"/>
    </row>
    <row r="40" spans="2:18" s="183" customFormat="1" ht="12.95" customHeight="1" thickTop="1" thickBot="1" x14ac:dyDescent="0.25">
      <c r="B40" s="212" t="s">
        <v>41</v>
      </c>
      <c r="C40" s="213">
        <f t="shared" ref="C40:K40" si="4">AVERAGE(C8:C38)</f>
        <v>1</v>
      </c>
      <c r="D40" s="213">
        <f t="shared" si="4"/>
        <v>1</v>
      </c>
      <c r="E40" s="213">
        <f t="shared" si="4"/>
        <v>1</v>
      </c>
      <c r="F40" s="213">
        <f t="shared" si="4"/>
        <v>1</v>
      </c>
      <c r="G40" s="213">
        <f t="shared" si="4"/>
        <v>1</v>
      </c>
      <c r="H40" s="213">
        <f t="shared" si="4"/>
        <v>1</v>
      </c>
      <c r="I40" s="213">
        <f t="shared" si="4"/>
        <v>1</v>
      </c>
      <c r="J40" s="213">
        <f t="shared" si="4"/>
        <v>1</v>
      </c>
      <c r="K40" s="213">
        <f t="shared" si="4"/>
        <v>1</v>
      </c>
      <c r="N40" s="207"/>
      <c r="O40" s="213">
        <f>AVERAGE(O8:O38)</f>
        <v>1</v>
      </c>
      <c r="P40" s="213">
        <f>AVERAGE(P8:P38)</f>
        <v>1</v>
      </c>
      <c r="R40" s="213">
        <f>AVERAGE(R8:R38)</f>
        <v>1</v>
      </c>
    </row>
    <row r="41" spans="2:18" s="183" customFormat="1" ht="12.95" customHeight="1" thickTop="1" thickBot="1" x14ac:dyDescent="0.25"/>
    <row r="42" spans="2:18" s="214" customFormat="1" ht="12.95" customHeight="1" thickTop="1" thickBot="1" x14ac:dyDescent="0.3">
      <c r="B42" s="395" t="s">
        <v>86</v>
      </c>
      <c r="C42" s="397">
        <f>AVERAGE(C40:K40)</f>
        <v>1</v>
      </c>
      <c r="D42" s="398"/>
      <c r="E42" s="398"/>
      <c r="F42" s="398"/>
      <c r="G42" s="398"/>
      <c r="H42" s="398"/>
      <c r="I42" s="398"/>
      <c r="J42" s="398"/>
      <c r="K42" s="399"/>
      <c r="N42" s="215"/>
      <c r="O42" s="404">
        <f>AVERAGE(O40:P40)</f>
        <v>1</v>
      </c>
      <c r="P42" s="405"/>
    </row>
    <row r="43" spans="2:18" s="2" customFormat="1" ht="16.5" thickTop="1" thickBot="1" x14ac:dyDescent="0.25">
      <c r="B43" s="396"/>
      <c r="C43" s="400"/>
      <c r="D43" s="401"/>
      <c r="E43" s="401"/>
      <c r="F43" s="401"/>
      <c r="G43" s="401"/>
      <c r="H43" s="401"/>
      <c r="I43" s="401"/>
      <c r="J43" s="401"/>
      <c r="K43" s="402"/>
    </row>
    <row r="44" spans="2:18" s="2" customFormat="1" ht="15" x14ac:dyDescent="0.2"/>
    <row r="45" spans="2:18" s="2" customFormat="1" ht="15" x14ac:dyDescent="0.2"/>
    <row r="46" spans="2:18" s="2" customFormat="1" ht="15" x14ac:dyDescent="0.2"/>
    <row r="47" spans="2:18" s="2" customFormat="1" ht="15" x14ac:dyDescent="0.2"/>
    <row r="48" spans="2:18" s="2" customFormat="1" ht="15" x14ac:dyDescent="0.2"/>
    <row r="49" s="2" customFormat="1" ht="15" x14ac:dyDescent="0.2"/>
    <row r="50" s="2" customFormat="1" ht="15" x14ac:dyDescent="0.2"/>
    <row r="51" s="2" customFormat="1" ht="15" x14ac:dyDescent="0.2"/>
    <row r="52" s="2" customFormat="1" ht="15" x14ac:dyDescent="0.2"/>
    <row r="53" s="2" customFormat="1" ht="15" x14ac:dyDescent="0.2"/>
    <row r="54" s="2" customFormat="1" ht="15" x14ac:dyDescent="0.2"/>
    <row r="55" s="2" customFormat="1" ht="15" x14ac:dyDescent="0.2"/>
    <row r="56" s="2" customFormat="1" ht="15" x14ac:dyDescent="0.2"/>
    <row r="57" s="2" customFormat="1" ht="15" x14ac:dyDescent="0.2"/>
    <row r="58" s="2" customFormat="1" ht="15" x14ac:dyDescent="0.2"/>
    <row r="59" s="2" customFormat="1" ht="15" x14ac:dyDescent="0.2"/>
    <row r="60" s="2" customFormat="1" ht="15" x14ac:dyDescent="0.2"/>
    <row r="61" s="2" customFormat="1" ht="15" x14ac:dyDescent="0.2"/>
    <row r="62" s="2" customFormat="1" ht="15" x14ac:dyDescent="0.2"/>
    <row r="63" s="2" customFormat="1" ht="15" x14ac:dyDescent="0.2"/>
    <row r="64" s="2" customFormat="1" ht="15" x14ac:dyDescent="0.2"/>
    <row r="65" s="2" customFormat="1" ht="15" x14ac:dyDescent="0.2"/>
    <row r="66" s="2" customFormat="1" ht="15" x14ac:dyDescent="0.2"/>
    <row r="67" s="2" customFormat="1" ht="15" x14ac:dyDescent="0.2"/>
    <row r="68" s="2" customFormat="1" ht="15" x14ac:dyDescent="0.2"/>
    <row r="69" s="2" customFormat="1" ht="15" x14ac:dyDescent="0.2"/>
    <row r="70" s="2" customFormat="1" ht="15" x14ac:dyDescent="0.2"/>
    <row r="71" s="2" customFormat="1" ht="15" x14ac:dyDescent="0.2"/>
    <row r="72" s="2" customFormat="1" ht="15" x14ac:dyDescent="0.2"/>
    <row r="73" s="2" customFormat="1" ht="15" x14ac:dyDescent="0.2"/>
    <row r="74" s="2" customFormat="1" ht="15" x14ac:dyDescent="0.2"/>
    <row r="75" s="2" customFormat="1" ht="15" x14ac:dyDescent="0.2"/>
    <row r="76" s="2" customFormat="1" ht="15" x14ac:dyDescent="0.2"/>
    <row r="77" s="2" customFormat="1" ht="15" x14ac:dyDescent="0.2"/>
    <row r="78" s="2" customFormat="1" ht="15" x14ac:dyDescent="0.2"/>
    <row r="79" s="2" customFormat="1" ht="15" x14ac:dyDescent="0.2"/>
    <row r="80" s="2" customFormat="1" ht="15" x14ac:dyDescent="0.2"/>
  </sheetData>
  <mergeCells count="22">
    <mergeCell ref="G6:G7"/>
    <mergeCell ref="H6:H7"/>
    <mergeCell ref="I6:I7"/>
    <mergeCell ref="B6:B7"/>
    <mergeCell ref="C5:D5"/>
    <mergeCell ref="I5:J5"/>
    <mergeCell ref="B42:B43"/>
    <mergeCell ref="C42:K43"/>
    <mergeCell ref="B2:E2"/>
    <mergeCell ref="H2:L2"/>
    <mergeCell ref="R6:R7"/>
    <mergeCell ref="O42:P42"/>
    <mergeCell ref="K6:K7"/>
    <mergeCell ref="C6:D6"/>
    <mergeCell ref="O5:P5"/>
    <mergeCell ref="O6:O7"/>
    <mergeCell ref="P6:P7"/>
    <mergeCell ref="G5:H5"/>
    <mergeCell ref="E6:E7"/>
    <mergeCell ref="F6:F7"/>
    <mergeCell ref="J6:J7"/>
    <mergeCell ref="E5:F5"/>
  </mergeCells>
  <conditionalFormatting sqref="C8:D38">
    <cfRule type="cellIs" dxfId="340" priority="175" operator="equal">
      <formula>0</formula>
    </cfRule>
    <cfRule type="cellIs" dxfId="339" priority="176" operator="equal">
      <formula>0.25</formula>
    </cfRule>
    <cfRule type="cellIs" dxfId="338" priority="177" operator="equal">
      <formula>0.5</formula>
    </cfRule>
    <cfRule type="cellIs" dxfId="337" priority="178" operator="equal">
      <formula>0.75</formula>
    </cfRule>
    <cfRule type="cellIs" dxfId="336" priority="180" operator="equal">
      <formula>1</formula>
    </cfRule>
  </conditionalFormatting>
  <conditionalFormatting sqref="C8:D38">
    <cfRule type="containsErrors" dxfId="335" priority="179">
      <formula>ISERROR(C8)</formula>
    </cfRule>
  </conditionalFormatting>
  <conditionalFormatting sqref="C8:H38">
    <cfRule type="cellIs" dxfId="334" priority="169" operator="equal">
      <formula>1</formula>
    </cfRule>
    <cfRule type="cellIs" dxfId="333" priority="170" operator="between">
      <formula>0.8</formula>
      <formula>0.999</formula>
    </cfRule>
    <cfRule type="cellIs" dxfId="332" priority="171" operator="between">
      <formula>0.6</formula>
      <formula>0.7999</formula>
    </cfRule>
    <cfRule type="cellIs" dxfId="331" priority="172" operator="between">
      <formula>0.4</formula>
      <formula>0.5999</formula>
    </cfRule>
    <cfRule type="cellIs" dxfId="330" priority="173" operator="between">
      <formula>0.2</formula>
      <formula>0.3999</formula>
    </cfRule>
    <cfRule type="cellIs" dxfId="329" priority="174" operator="between">
      <formula>0</formula>
      <formula>0.1999</formula>
    </cfRule>
  </conditionalFormatting>
  <conditionalFormatting sqref="G8:H38">
    <cfRule type="cellIs" dxfId="328" priority="163" operator="equal">
      <formula>1</formula>
    </cfRule>
    <cfRule type="cellIs" dxfId="327" priority="164" operator="between">
      <formula>0.8</formula>
      <formula>0.999</formula>
    </cfRule>
    <cfRule type="cellIs" dxfId="326" priority="165" operator="between">
      <formula>0.6</formula>
      <formula>0.7999</formula>
    </cfRule>
    <cfRule type="cellIs" dxfId="325" priority="166" operator="between">
      <formula>0.4</formula>
      <formula>0.5999</formula>
    </cfRule>
    <cfRule type="cellIs" dxfId="324" priority="167" operator="between">
      <formula>0.2</formula>
      <formula>0.3999</formula>
    </cfRule>
    <cfRule type="cellIs" dxfId="323" priority="168" operator="between">
      <formula>0</formula>
      <formula>0.1999</formula>
    </cfRule>
  </conditionalFormatting>
  <conditionalFormatting sqref="C40:D40">
    <cfRule type="cellIs" dxfId="322" priority="157" operator="equal">
      <formula>0</formula>
    </cfRule>
    <cfRule type="cellIs" dxfId="321" priority="158" operator="equal">
      <formula>0.25</formula>
    </cfRule>
    <cfRule type="cellIs" dxfId="320" priority="159" operator="equal">
      <formula>0.5</formula>
    </cfRule>
    <cfRule type="cellIs" dxfId="319" priority="160" operator="equal">
      <formula>0.75</formula>
    </cfRule>
    <cfRule type="cellIs" dxfId="318" priority="162" operator="equal">
      <formula>1</formula>
    </cfRule>
  </conditionalFormatting>
  <conditionalFormatting sqref="C40:D40">
    <cfRule type="containsErrors" dxfId="317" priority="161">
      <formula>ISERROR(C40)</formula>
    </cfRule>
  </conditionalFormatting>
  <conditionalFormatting sqref="C40:D40">
    <cfRule type="cellIs" dxfId="316" priority="151" operator="equal">
      <formula>1</formula>
    </cfRule>
    <cfRule type="cellIs" dxfId="315" priority="152" operator="between">
      <formula>0.8</formula>
      <formula>0.999</formula>
    </cfRule>
    <cfRule type="cellIs" dxfId="314" priority="153" operator="between">
      <formula>0.6</formula>
      <formula>0.7999</formula>
    </cfRule>
    <cfRule type="cellIs" dxfId="313" priority="154" operator="between">
      <formula>0.4</formula>
      <formula>0.5999</formula>
    </cfRule>
    <cfRule type="cellIs" dxfId="312" priority="155" operator="between">
      <formula>0.2</formula>
      <formula>0.3999</formula>
    </cfRule>
    <cfRule type="cellIs" dxfId="311" priority="156" operator="between">
      <formula>0</formula>
      <formula>0.1999</formula>
    </cfRule>
  </conditionalFormatting>
  <conditionalFormatting sqref="E40:F40">
    <cfRule type="cellIs" dxfId="310" priority="145" operator="equal">
      <formula>1</formula>
    </cfRule>
    <cfRule type="cellIs" dxfId="309" priority="146" operator="between">
      <formula>0.8</formula>
      <formula>0.999</formula>
    </cfRule>
    <cfRule type="cellIs" dxfId="308" priority="147" operator="between">
      <formula>0.6</formula>
      <formula>0.7999</formula>
    </cfRule>
    <cfRule type="cellIs" dxfId="307" priority="148" operator="between">
      <formula>0.4</formula>
      <formula>0.5999</formula>
    </cfRule>
    <cfRule type="cellIs" dxfId="306" priority="149" operator="between">
      <formula>0.2</formula>
      <formula>0.3999</formula>
    </cfRule>
    <cfRule type="cellIs" dxfId="305" priority="150" operator="between">
      <formula>0</formula>
      <formula>0.1999</formula>
    </cfRule>
  </conditionalFormatting>
  <conditionalFormatting sqref="G40:K40">
    <cfRule type="cellIs" dxfId="304" priority="139" operator="equal">
      <formula>1</formula>
    </cfRule>
    <cfRule type="cellIs" dxfId="303" priority="140" operator="between">
      <formula>0.8</formula>
      <formula>0.999</formula>
    </cfRule>
    <cfRule type="cellIs" dxfId="302" priority="141" operator="between">
      <formula>0.6</formula>
      <formula>0.7999</formula>
    </cfRule>
    <cfRule type="cellIs" dxfId="301" priority="142" operator="between">
      <formula>0.4</formula>
      <formula>0.5999</formula>
    </cfRule>
    <cfRule type="cellIs" dxfId="300" priority="143" operator="between">
      <formula>0.2</formula>
      <formula>0.3999</formula>
    </cfRule>
    <cfRule type="cellIs" dxfId="299" priority="144" operator="between">
      <formula>0</formula>
      <formula>0.1999</formula>
    </cfRule>
  </conditionalFormatting>
  <conditionalFormatting sqref="G40:K40">
    <cfRule type="cellIs" dxfId="298" priority="133" operator="equal">
      <formula>1</formula>
    </cfRule>
    <cfRule type="cellIs" dxfId="297" priority="134" operator="between">
      <formula>0.8</formula>
      <formula>0.999</formula>
    </cfRule>
    <cfRule type="cellIs" dxfId="296" priority="135" operator="between">
      <formula>0.6</formula>
      <formula>0.7999</formula>
    </cfRule>
    <cfRule type="cellIs" dxfId="295" priority="136" operator="between">
      <formula>0.4</formula>
      <formula>0.5999</formula>
    </cfRule>
    <cfRule type="cellIs" dxfId="294" priority="137" operator="between">
      <formula>0.2</formula>
      <formula>0.3999</formula>
    </cfRule>
    <cfRule type="cellIs" dxfId="293" priority="138" operator="between">
      <formula>0</formula>
      <formula>0.1999</formula>
    </cfRule>
  </conditionalFormatting>
  <conditionalFormatting sqref="O40:P40">
    <cfRule type="cellIs" dxfId="292" priority="103" operator="equal">
      <formula>1</formula>
    </cfRule>
    <cfRule type="cellIs" dxfId="291" priority="104" operator="between">
      <formula>0.8</formula>
      <formula>0.999</formula>
    </cfRule>
    <cfRule type="cellIs" dxfId="290" priority="105" operator="between">
      <formula>0.6</formula>
      <formula>0.7999</formula>
    </cfRule>
    <cfRule type="cellIs" dxfId="289" priority="106" operator="between">
      <formula>0.4</formula>
      <formula>0.5999</formula>
    </cfRule>
    <cfRule type="cellIs" dxfId="288" priority="107" operator="between">
      <formula>0.2</formula>
      <formula>0.3999</formula>
    </cfRule>
    <cfRule type="cellIs" dxfId="287" priority="108" operator="between">
      <formula>0</formula>
      <formula>0.1999</formula>
    </cfRule>
  </conditionalFormatting>
  <conditionalFormatting sqref="O40:P40">
    <cfRule type="cellIs" dxfId="286" priority="97" operator="equal">
      <formula>1</formula>
    </cfRule>
    <cfRule type="cellIs" dxfId="285" priority="98" operator="between">
      <formula>0.8</formula>
      <formula>0.999</formula>
    </cfRule>
    <cfRule type="cellIs" dxfId="284" priority="99" operator="between">
      <formula>0.6</formula>
      <formula>0.7999</formula>
    </cfRule>
    <cfRule type="cellIs" dxfId="283" priority="100" operator="between">
      <formula>0.4</formula>
      <formula>0.5999</formula>
    </cfRule>
    <cfRule type="cellIs" dxfId="282" priority="101" operator="between">
      <formula>0.2</formula>
      <formula>0.3999</formula>
    </cfRule>
    <cfRule type="cellIs" dxfId="281" priority="102" operator="between">
      <formula>0</formula>
      <formula>0.1999</formula>
    </cfRule>
  </conditionalFormatting>
  <conditionalFormatting sqref="C42">
    <cfRule type="cellIs" dxfId="280" priority="73" operator="equal">
      <formula>1</formula>
    </cfRule>
    <cfRule type="cellIs" dxfId="279" priority="74" operator="between">
      <formula>0.8</formula>
      <formula>0.999</formula>
    </cfRule>
    <cfRule type="cellIs" dxfId="278" priority="75" operator="between">
      <formula>0.6</formula>
      <formula>0.7999</formula>
    </cfRule>
    <cfRule type="cellIs" dxfId="277" priority="76" operator="between">
      <formula>0.4</formula>
      <formula>0.5999</formula>
    </cfRule>
    <cfRule type="cellIs" dxfId="276" priority="77" operator="between">
      <formula>0.2</formula>
      <formula>0.3999</formula>
    </cfRule>
    <cfRule type="cellIs" dxfId="275" priority="78" operator="between">
      <formula>0</formula>
      <formula>0.1999</formula>
    </cfRule>
  </conditionalFormatting>
  <conditionalFormatting sqref="O8:P38">
    <cfRule type="cellIs" dxfId="274" priority="127" operator="equal">
      <formula>1</formula>
    </cfRule>
    <cfRule type="cellIs" dxfId="273" priority="128" operator="between">
      <formula>0.8</formula>
      <formula>0.999</formula>
    </cfRule>
    <cfRule type="cellIs" dxfId="272" priority="129" operator="between">
      <formula>0.6</formula>
      <formula>0.7999</formula>
    </cfRule>
    <cfRule type="cellIs" dxfId="271" priority="130" operator="between">
      <formula>0.4</formula>
      <formula>0.5999</formula>
    </cfRule>
    <cfRule type="cellIs" dxfId="270" priority="131" operator="between">
      <formula>0.2</formula>
      <formula>0.3999</formula>
    </cfRule>
    <cfRule type="cellIs" dxfId="269" priority="132" operator="between">
      <formula>0</formula>
      <formula>0.1999</formula>
    </cfRule>
  </conditionalFormatting>
  <conditionalFormatting sqref="O8:P38">
    <cfRule type="cellIs" dxfId="268" priority="121" operator="equal">
      <formula>1</formula>
    </cfRule>
    <cfRule type="cellIs" dxfId="267" priority="122" operator="between">
      <formula>0.8</formula>
      <formula>0.999</formula>
    </cfRule>
    <cfRule type="cellIs" dxfId="266" priority="123" operator="between">
      <formula>0.6</formula>
      <formula>0.7999</formula>
    </cfRule>
    <cfRule type="cellIs" dxfId="265" priority="124" operator="between">
      <formula>0.4</formula>
      <formula>0.5999</formula>
    </cfRule>
    <cfRule type="cellIs" dxfId="264" priority="125" operator="between">
      <formula>0.2</formula>
      <formula>0.3999</formula>
    </cfRule>
    <cfRule type="cellIs" dxfId="263" priority="126" operator="between">
      <formula>0</formula>
      <formula>0.1999</formula>
    </cfRule>
  </conditionalFormatting>
  <conditionalFormatting sqref="I8:I38">
    <cfRule type="cellIs" dxfId="262" priority="115" operator="equal">
      <formula>1</formula>
    </cfRule>
    <cfRule type="cellIs" dxfId="261" priority="116" operator="between">
      <formula>0.8</formula>
      <formula>0.999</formula>
    </cfRule>
    <cfRule type="cellIs" dxfId="260" priority="117" operator="between">
      <formula>0.6</formula>
      <formula>0.7999</formula>
    </cfRule>
    <cfRule type="cellIs" dxfId="259" priority="118" operator="between">
      <formula>0.4</formula>
      <formula>0.5999</formula>
    </cfRule>
    <cfRule type="cellIs" dxfId="258" priority="119" operator="between">
      <formula>0.2</formula>
      <formula>0.3999</formula>
    </cfRule>
    <cfRule type="cellIs" dxfId="257" priority="120" operator="between">
      <formula>0</formula>
      <formula>0.1999</formula>
    </cfRule>
  </conditionalFormatting>
  <conditionalFormatting sqref="I8:I38">
    <cfRule type="cellIs" dxfId="256" priority="109" operator="equal">
      <formula>1</formula>
    </cfRule>
    <cfRule type="cellIs" dxfId="255" priority="110" operator="between">
      <formula>0.8</formula>
      <formula>0.999</formula>
    </cfRule>
    <cfRule type="cellIs" dxfId="254" priority="111" operator="between">
      <formula>0.6</formula>
      <formula>0.7999</formula>
    </cfRule>
    <cfRule type="cellIs" dxfId="253" priority="112" operator="between">
      <formula>0.4</formula>
      <formula>0.5999</formula>
    </cfRule>
    <cfRule type="cellIs" dxfId="252" priority="113" operator="between">
      <formula>0.2</formula>
      <formula>0.3999</formula>
    </cfRule>
    <cfRule type="cellIs" dxfId="251" priority="114" operator="between">
      <formula>0</formula>
      <formula>0.1999</formula>
    </cfRule>
  </conditionalFormatting>
  <conditionalFormatting sqref="O42">
    <cfRule type="cellIs" dxfId="250" priority="91" operator="equal">
      <formula>1</formula>
    </cfRule>
    <cfRule type="cellIs" dxfId="249" priority="92" operator="between">
      <formula>0.8</formula>
      <formula>0.999</formula>
    </cfRule>
    <cfRule type="cellIs" dxfId="248" priority="93" operator="between">
      <formula>0.6</formula>
      <formula>0.7999</formula>
    </cfRule>
    <cfRule type="cellIs" dxfId="247" priority="94" operator="between">
      <formula>0.4</formula>
      <formula>0.5999</formula>
    </cfRule>
    <cfRule type="cellIs" dxfId="246" priority="95" operator="between">
      <formula>0.2</formula>
      <formula>0.3999</formula>
    </cfRule>
    <cfRule type="cellIs" dxfId="245" priority="96" operator="between">
      <formula>0</formula>
      <formula>0.1999</formula>
    </cfRule>
  </conditionalFormatting>
  <conditionalFormatting sqref="O42">
    <cfRule type="cellIs" dxfId="244" priority="85" operator="equal">
      <formula>1</formula>
    </cfRule>
    <cfRule type="cellIs" dxfId="243" priority="86" operator="between">
      <formula>0.8</formula>
      <formula>0.999</formula>
    </cfRule>
    <cfRule type="cellIs" dxfId="242" priority="87" operator="between">
      <formula>0.6</formula>
      <formula>0.7999</formula>
    </cfRule>
    <cfRule type="cellIs" dxfId="241" priority="88" operator="between">
      <formula>0.4</formula>
      <formula>0.5999</formula>
    </cfRule>
    <cfRule type="cellIs" dxfId="240" priority="89" operator="between">
      <formula>0.2</formula>
      <formula>0.3999</formula>
    </cfRule>
    <cfRule type="cellIs" dxfId="239" priority="90" operator="between">
      <formula>0</formula>
      <formula>0.1999</formula>
    </cfRule>
  </conditionalFormatting>
  <conditionalFormatting sqref="C42">
    <cfRule type="cellIs" dxfId="238" priority="79" operator="equal">
      <formula>0</formula>
    </cfRule>
    <cfRule type="cellIs" dxfId="237" priority="80" operator="equal">
      <formula>0.25</formula>
    </cfRule>
    <cfRule type="cellIs" dxfId="236" priority="81" operator="equal">
      <formula>0.5</formula>
    </cfRule>
    <cfRule type="cellIs" dxfId="235" priority="82" operator="equal">
      <formula>0.75</formula>
    </cfRule>
    <cfRule type="cellIs" dxfId="234" priority="84" operator="equal">
      <formula>1</formula>
    </cfRule>
  </conditionalFormatting>
  <conditionalFormatting sqref="C42">
    <cfRule type="containsErrors" dxfId="233" priority="83">
      <formula>ISERROR(C42)</formula>
    </cfRule>
  </conditionalFormatting>
  <conditionalFormatting sqref="J8:J38">
    <cfRule type="cellIs" dxfId="232" priority="67" operator="equal">
      <formula>1</formula>
    </cfRule>
    <cfRule type="cellIs" dxfId="231" priority="68" operator="between">
      <formula>0.8</formula>
      <formula>0.999</formula>
    </cfRule>
    <cfRule type="cellIs" dxfId="230" priority="69" operator="between">
      <formula>0.6</formula>
      <formula>0.7999</formula>
    </cfRule>
    <cfRule type="cellIs" dxfId="229" priority="70" operator="between">
      <formula>0.4</formula>
      <formula>0.5999</formula>
    </cfRule>
    <cfRule type="cellIs" dxfId="228" priority="71" operator="between">
      <formula>0.2</formula>
      <formula>0.3999</formula>
    </cfRule>
    <cfRule type="cellIs" dxfId="227" priority="72" operator="between">
      <formula>0</formula>
      <formula>0.1999</formula>
    </cfRule>
  </conditionalFormatting>
  <conditionalFormatting sqref="J8:J38">
    <cfRule type="cellIs" dxfId="226" priority="61" operator="equal">
      <formula>1</formula>
    </cfRule>
    <cfRule type="cellIs" dxfId="225" priority="62" operator="between">
      <formula>0.8</formula>
      <formula>0.999</formula>
    </cfRule>
    <cfRule type="cellIs" dxfId="224" priority="63" operator="between">
      <formula>0.6</formula>
      <formula>0.7999</formula>
    </cfRule>
    <cfRule type="cellIs" dxfId="223" priority="64" operator="between">
      <formula>0.4</formula>
      <formula>0.5999</formula>
    </cfRule>
    <cfRule type="cellIs" dxfId="222" priority="65" operator="between">
      <formula>0.2</formula>
      <formula>0.3999</formula>
    </cfRule>
    <cfRule type="cellIs" dxfId="221" priority="66" operator="between">
      <formula>0</formula>
      <formula>0.1999</formula>
    </cfRule>
  </conditionalFormatting>
  <conditionalFormatting sqref="R40">
    <cfRule type="cellIs" dxfId="220" priority="25" operator="equal">
      <formula>1</formula>
    </cfRule>
    <cfRule type="cellIs" dxfId="219" priority="26" operator="between">
      <formula>0.8</formula>
      <formula>0.999</formula>
    </cfRule>
    <cfRule type="cellIs" dxfId="218" priority="27" operator="between">
      <formula>0.6</formula>
      <formula>0.7999</formula>
    </cfRule>
    <cfRule type="cellIs" dxfId="217" priority="28" operator="between">
      <formula>0.4</formula>
      <formula>0.5999</formula>
    </cfRule>
    <cfRule type="cellIs" dxfId="216" priority="29" operator="between">
      <formula>0.2</formula>
      <formula>0.3999</formula>
    </cfRule>
    <cfRule type="cellIs" dxfId="215" priority="30" operator="between">
      <formula>0</formula>
      <formula>0.1999</formula>
    </cfRule>
  </conditionalFormatting>
  <conditionalFormatting sqref="K8:K38">
    <cfRule type="cellIs" dxfId="214" priority="55" operator="equal">
      <formula>1</formula>
    </cfRule>
    <cfRule type="cellIs" dxfId="213" priority="56" operator="between">
      <formula>0.8</formula>
      <formula>0.999</formula>
    </cfRule>
    <cfRule type="cellIs" dxfId="212" priority="57" operator="between">
      <formula>0.6</formula>
      <formula>0.7999</formula>
    </cfRule>
    <cfRule type="cellIs" dxfId="211" priority="58" operator="between">
      <formula>0.4</formula>
      <formula>0.5999</formula>
    </cfRule>
    <cfRule type="cellIs" dxfId="210" priority="59" operator="between">
      <formula>0.2</formula>
      <formula>0.3999</formula>
    </cfRule>
    <cfRule type="cellIs" dxfId="209" priority="60" operator="between">
      <formula>0</formula>
      <formula>0.1999</formula>
    </cfRule>
  </conditionalFormatting>
  <conditionalFormatting sqref="K8:K38">
    <cfRule type="cellIs" dxfId="208" priority="49" operator="equal">
      <formula>1</formula>
    </cfRule>
    <cfRule type="cellIs" dxfId="207" priority="50" operator="between">
      <formula>0.8</formula>
      <formula>0.999</formula>
    </cfRule>
    <cfRule type="cellIs" dxfId="206" priority="51" operator="between">
      <formula>0.6</formula>
      <formula>0.7999</formula>
    </cfRule>
    <cfRule type="cellIs" dxfId="205" priority="52" operator="between">
      <formula>0.4</formula>
      <formula>0.5999</formula>
    </cfRule>
    <cfRule type="cellIs" dxfId="204" priority="53" operator="between">
      <formula>0.2</formula>
      <formula>0.3999</formula>
    </cfRule>
    <cfRule type="cellIs" dxfId="203" priority="54" operator="between">
      <formula>0</formula>
      <formula>0.1999</formula>
    </cfRule>
  </conditionalFormatting>
  <conditionalFormatting sqref="R40">
    <cfRule type="cellIs" dxfId="202" priority="31" operator="equal">
      <formula>1</formula>
    </cfRule>
    <cfRule type="cellIs" dxfId="201" priority="32" operator="between">
      <formula>0.8</formula>
      <formula>0.999</formula>
    </cfRule>
    <cfRule type="cellIs" dxfId="200" priority="33" operator="between">
      <formula>0.6</formula>
      <formula>0.7999</formula>
    </cfRule>
    <cfRule type="cellIs" dxfId="199" priority="34" operator="between">
      <formula>0.4</formula>
      <formula>0.5999</formula>
    </cfRule>
    <cfRule type="cellIs" dxfId="198" priority="35" operator="between">
      <formula>0.2</formula>
      <formula>0.3999</formula>
    </cfRule>
    <cfRule type="cellIs" dxfId="197" priority="36" operator="between">
      <formula>0</formula>
      <formula>0.1999</formula>
    </cfRule>
  </conditionalFormatting>
  <conditionalFormatting sqref="R8:R38">
    <cfRule type="cellIs" dxfId="196" priority="7" operator="equal">
      <formula>1</formula>
    </cfRule>
    <cfRule type="cellIs" dxfId="195" priority="8" operator="between">
      <formula>0.8</formula>
      <formula>0.999</formula>
    </cfRule>
    <cfRule type="cellIs" dxfId="194" priority="9" operator="between">
      <formula>0.6</formula>
      <formula>0.7999</formula>
    </cfRule>
    <cfRule type="cellIs" dxfId="193" priority="10" operator="between">
      <formula>0.4</formula>
      <formula>0.5999</formula>
    </cfRule>
    <cfRule type="cellIs" dxfId="192" priority="11" operator="between">
      <formula>0.2</formula>
      <formula>0.3999</formula>
    </cfRule>
    <cfRule type="cellIs" dxfId="191" priority="12" operator="between">
      <formula>0</formula>
      <formula>0.1999</formula>
    </cfRule>
  </conditionalFormatting>
  <conditionalFormatting sqref="R8:R38">
    <cfRule type="cellIs" dxfId="190" priority="1" operator="equal">
      <formula>1</formula>
    </cfRule>
    <cfRule type="cellIs" dxfId="189" priority="2" operator="between">
      <formula>0.8</formula>
      <formula>0.999</formula>
    </cfRule>
    <cfRule type="cellIs" dxfId="188" priority="3" operator="between">
      <formula>0.6</formula>
      <formula>0.7999</formula>
    </cfRule>
    <cfRule type="cellIs" dxfId="187" priority="4" operator="between">
      <formula>0.4</formula>
      <formula>0.5999</formula>
    </cfRule>
    <cfRule type="cellIs" dxfId="186" priority="5" operator="between">
      <formula>0.2</formula>
      <formula>0.3999</formula>
    </cfRule>
    <cfRule type="cellIs" dxfId="185" priority="6" operator="between">
      <formula>0</formula>
      <formula>0.1999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DD</vt:lpstr>
      <vt:lpstr>Data</vt:lpstr>
      <vt:lpstr>Etat du Ciel</vt:lpstr>
      <vt:lpstr>Vent</vt:lpstr>
      <vt:lpstr>Phenomenes</vt:lpstr>
      <vt:lpstr>Tmax</vt:lpstr>
      <vt:lpstr>Tmin</vt:lpstr>
      <vt:lpstr>Score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2020-12-08T10:26:16Z</dcterms:created>
  <dc:creator>DRG</dc:creator>
  <lastModifiedBy>DRG</lastModifiedBy>
  <dcterms:modified xsi:type="dcterms:W3CDTF">2022-08-18T14:27:54Z</dcterms:modified>
</coreProperties>
</file>